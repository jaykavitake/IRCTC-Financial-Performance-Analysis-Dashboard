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29cbf83277d698b7/Documents/EXCEL PRACTICE/"/>
    </mc:Choice>
  </mc:AlternateContent>
  <xr:revisionPtr revIDLastSave="1641" documentId="8_{4412FF7C-33F3-4AB2-97CF-F5D6574AB390}" xr6:coauthVersionLast="47" xr6:coauthVersionMax="47" xr10:uidLastSave="{283B2BC0-5EE8-4135-9407-7797230FC20C}"/>
  <bookViews>
    <workbookView xWindow="-108" yWindow="-108" windowWidth="23256" windowHeight="12456" activeTab="1" xr2:uid="{94377C6C-A127-4D88-A455-C2EF86CA24A3}"/>
  </bookViews>
  <sheets>
    <sheet name="PIVOT_TABLE1" sheetId="5" r:id="rId1"/>
    <sheet name="DASHBOARD" sheetId="4" r:id="rId2"/>
    <sheet name="KPI's" sheetId="8" r:id="rId3"/>
    <sheet name="DATA" sheetId="1" r:id="rId4"/>
    <sheet name="colurs" sheetId="3" r:id="rId5"/>
  </sheets>
  <definedNames>
    <definedName name="_xlchart.v1.0" hidden="1">PIVOT_TABLE1!$G$141:$G$147</definedName>
    <definedName name="_xlchart.v1.1" hidden="1">PIVOT_TABLE1!$H$141:$H$147</definedName>
    <definedName name="ExternalData_1" localSheetId="3" hidden="1">DATA!$B$1:$M$12</definedName>
    <definedName name="Slicer_YEARS">#N/A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 2_b99542b0-b4a0-4fc4-a297-5dcb5dc029c8" name="Table 2" connection="Query - Table 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44"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1C4D0D-9CD1-4F26-9109-7A9DD83E694B}" keepAlive="1" name="ModelConnection_ExternalData_1" description="Data Model" type="5" refreshedVersion="8" minRefreshableVersion="5" saveData="1">
    <dbPr connection="Data Model Connection" command="Table 2" commandType="3"/>
    <extLst>
      <ext xmlns:x15="http://schemas.microsoft.com/office/spreadsheetml/2010/11/main" uri="{DE250136-89BD-433C-8126-D09CA5730AF9}">
        <x15:connection id="" model="1"/>
      </ext>
    </extLst>
  </connection>
  <connection id="2" xr16:uid="{BBB20C54-895C-47B8-85E8-55A7C8871960}" name="Query - Table 2" description="Connection to the 'Table 2' query in the workbook." type="100" refreshedVersion="8" minRefreshableVersion="5">
    <extLst>
      <ext xmlns:x15="http://schemas.microsoft.com/office/spreadsheetml/2010/11/main" uri="{DE250136-89BD-433C-8126-D09CA5730AF9}">
        <x15:connection id="8d7863c9-5659-4630-963d-88f32cb5e4d8"/>
      </ext>
    </extLst>
  </connection>
  <connection id="3" xr16:uid="{A2EFE145-CC01-49DE-B5ED-969A71AB288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<sst xmlns="http://schemas.openxmlformats.org/spreadsheetml/2006/main" count="182" uniqueCount="40">
  <si>
    <t>Sales +</t>
  </si>
  <si>
    <t>Expenses +</t>
  </si>
  <si>
    <t>Operating Profit</t>
  </si>
  <si>
    <t>OPM %</t>
  </si>
  <si>
    <t>Other Income +</t>
  </si>
  <si>
    <t>Interest</t>
  </si>
  <si>
    <t>Depreciation</t>
  </si>
  <si>
    <t>Profit before tax</t>
  </si>
  <si>
    <t>Tax %</t>
  </si>
  <si>
    <t>Net Profit +</t>
  </si>
  <si>
    <t>EPS in Rs</t>
  </si>
  <si>
    <t>Dividend Payout %</t>
  </si>
  <si>
    <t>YEARS</t>
  </si>
  <si>
    <t>Row Labels</t>
  </si>
  <si>
    <t>Grand Total</t>
  </si>
  <si>
    <t>2015</t>
  </si>
  <si>
    <t>2016</t>
  </si>
  <si>
    <t>2017</t>
  </si>
  <si>
    <t>2018</t>
  </si>
  <si>
    <t>2019</t>
  </si>
  <si>
    <t>2020</t>
  </si>
  <si>
    <t>2021</t>
  </si>
  <si>
    <t>2022</t>
  </si>
  <si>
    <t>2023</t>
  </si>
  <si>
    <t>2024</t>
  </si>
  <si>
    <t>2025</t>
  </si>
  <si>
    <t>Sum of OPM %</t>
  </si>
  <si>
    <t>Sum of Net Profit +</t>
  </si>
  <si>
    <t>Sum of Tax %</t>
  </si>
  <si>
    <t>Sum of Other Income +</t>
  </si>
  <si>
    <t>Revenue</t>
  </si>
  <si>
    <t>Profit</t>
  </si>
  <si>
    <t xml:space="preserve">EPS </t>
  </si>
  <si>
    <t xml:space="preserve"> Dividend %</t>
  </si>
  <si>
    <t>“#115f9a”, “#1984c5”, “#22a7f0”, </t>
  </si>
  <si>
    <t>Expenses </t>
  </si>
  <si>
    <t>Sales </t>
  </si>
  <si>
    <t>Sum of Sales +</t>
  </si>
  <si>
    <t>Sum of Expenses +</t>
  </si>
  <si>
    <t>1. learning the water fall model in deep.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</si>
</sst>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 #,##0.00"/>
    <numFmt numFmtId="165" formatCode="\ #,##0.0"/>
    <numFmt numFmtId="166" formatCode="0.0%"/>
    <numFmt numFmtId="167" formatCode="#,##0.0"/>
    <numFmt numFmtId="168" formatCode="mmm/yyyy"/>
  </numFmts>
  <fonts count="6">
    <font>
      <sz val="11"/>
      <color theme="1"/>
      <name val="Calibri"/>
      <family val="2"/>
      <scheme val="minor"/>
    </font>
    <font>
      <b/>
      <sz val="11"/>
      <color theme="0"/>
      <name val="Calibri"/>
      <family val="2"/>
      <scheme val="minor"/>
    </font>
    <font>
      <sz val="11"/>
      <color rgb="FF606F7B"/>
      <name val="Arial"/>
      <family val="2"/>
    </font>
    <font>
      <sz val="11"/>
      <name val="Calibri"/>
      <family val="2"/>
      <scheme val="minor"/>
    </font>
    <font>
      <sz val="10"/>
      <color rgb="FF3A4F66"/>
      <name val="Graphik-regular"/>
    </font>
    <font>
      <sz val="12"/>
      <color theme="1"/>
      <name val="Calibri"/>
      <family val="2"/>
      <scheme val="minor"/>
    </font>
  </fonts>
  <fills count="11">
    <fill>
      <patternFill patternType="none"/>
    </fill>
    <fill>
      <patternFill patternType="gray125"/>
    </fill>
    <fill>
      <patternFill patternType="solid">
        <fgColor theme="9"/>
        <bgColor theme="9"/>
      </patternFill>
    </fill>
    <fill>
      <patternFill patternType="solid">
        <fgColor rgb="FFFFFFFF"/>
        <bgColor indexed="64"/>
      </patternFill>
    </fill>
    <fill>
      <patternFill patternType="solid">
        <fgColor rgb="FF115F9A"/>
        <bgColor indexed="64"/>
      </patternFill>
    </fill>
    <fill>
      <patternFill patternType="solid">
        <fgColor rgb="FF1984C5"/>
        <bgColor indexed="64"/>
      </patternFill>
    </fill>
    <fill>
      <patternFill patternType="solid">
        <fgColor rgb="FF22A7F0"/>
        <bgColor indexed="64"/>
      </patternFill>
    </fill>
    <fill>
      <patternFill patternType="solid">
        <fgColor theme="9" tint="0.79998168889431442"/>
        <bgColor theme="9" tint="0.79998168889431442"/>
      </patternFill>
    </fill>
    <fill>
      <patternFill patternType="solid">
        <fgColor rgb="FF000075"/>
        <bgColor indexed="64"/>
      </patternFill>
    </fill>
    <fill>
      <patternFill patternType="solid">
        <fgColor rgb="FFCCC7D2"/>
        <bgColor indexed="64"/>
      </patternFill>
    </fill>
    <fill>
      <patternFill patternType="solid">
        <fgColor theme="1" tint="4.9989318521683403E-2"/>
        <bgColor indexed="64"/>
      </patternFill>
    </fill>
  </fills>
  <borders count="5">
    <border>
      <left/>
      <right/>
      <top/>
      <bottom/>
      <diagonal/>
    </border>
    <border>
      <left style="thin">
        <color theme="9" tint="0.39997558519241921"/>
      </left>
      <right/>
      <top style="thin">
        <color theme="9" tint="0.39997558519241921"/>
      </top>
      <bottom style="thin">
        <color theme="9" tint="0.39997558519241921"/>
      </bottom>
      <diagonal/>
    </border>
    <border>
      <left/>
      <right/>
      <top/>
      <bottom style="medium">
        <color rgb="FFDBE4F0"/>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37">
    <xf numFmtId="0" fontId="0" fillId="0" borderId="0" xfId="0"/>
    <xf numFmtId="164" fontId="0" fillId="0" borderId="0" xfId="0" applyNumberFormat="1"/>
    <xf numFmtId="165" fontId="0" fillId="0" borderId="0" xfId="0" applyNumberFormat="1"/>
    <xf numFmtId="166" fontId="0" fillId="0" borderId="0" xfId="0" applyNumberFormat="1"/>
    <xf numFmtId="3" fontId="0" fillId="0" borderId="0" xfId="0" applyNumberFormat="1"/>
    <xf numFmtId="167" fontId="0" fillId="0" borderId="0" xfId="0" applyNumberFormat="1"/>
    <xf numFmtId="164" fontId="1" fillId="2" borderId="1" xfId="0" applyNumberFormat="1" applyFont="1" applyFill="1" applyBorder="1"/>
    <xf numFmtId="17" fontId="2" fillId="3" borderId="2" xfId="0" applyNumberFormat="1" applyFont="1" applyFill="1" applyBorder="1" applyAlignment="1">
      <alignment horizontal="right" vertical="center" wrapText="1"/>
    </xf>
    <xf numFmtId="0" fontId="2" fillId="3" borderId="2" xfId="0" applyFont="1" applyFill="1" applyBorder="1" applyAlignment="1">
      <alignment horizontal="right" vertical="center" wrapText="1"/>
    </xf>
    <xf numFmtId="168" fontId="3" fillId="3" borderId="2" xfId="0" applyNumberFormat="1" applyFont="1" applyFill="1" applyBorder="1" applyAlignment="1">
      <alignment horizontal="right" vertical="center" wrapText="1"/>
    </xf>
    <xf numFmtId="14" fontId="3" fillId="3" borderId="2" xfId="0" applyNumberFormat="1" applyFont="1" applyFill="1" applyBorder="1" applyAlignment="1">
      <alignment horizontal="right" vertical="center" wrapText="1"/>
    </xf>
    <xf numFmtId="0" fontId="3" fillId="0" borderId="0" xfId="0" applyFont="1"/>
    <xf numFmtId="0" fontId="0" fillId="0" borderId="0" xfId="0" pivotButton="1"/>
    <xf numFmtId="0" fontId="0" fillId="0" borderId="0" xfId="0" applyAlignment="1">
      <alignment horizontal="left"/>
    </xf>
    <xf numFmtId="0" fontId="4" fillId="0" borderId="0" xfId="0" applyFont="1"/>
    <xf numFmtId="0" fontId="0" fillId="4" borderId="0" xfId="0" applyFill="1"/>
    <xf numFmtId="0" fontId="0" fillId="5" borderId="0" xfId="0" applyFill="1"/>
    <xf numFmtId="0" fontId="0" fillId="6" borderId="0" xfId="0" applyFill="1"/>
    <xf numFmtId="0" fontId="1" fillId="2" borderId="3" xfId="0" applyFont="1" applyFill="1" applyBorder="1"/>
    <xf numFmtId="0" fontId="1" fillId="2" borderId="4" xfId="0" applyFont="1" applyFill="1" applyBorder="1"/>
    <xf numFmtId="0" fontId="0" fillId="7" borderId="3" xfId="0" applyFill="1" applyBorder="1"/>
    <xf numFmtId="164" fontId="1" fillId="2" borderId="3" xfId="0" applyNumberFormat="1" applyFont="1" applyFill="1" applyBorder="1"/>
    <xf numFmtId="165" fontId="1" fillId="2" borderId="3" xfId="0" applyNumberFormat="1" applyFont="1" applyFill="1" applyBorder="1"/>
    <xf numFmtId="166" fontId="1" fillId="2" borderId="3" xfId="0" applyNumberFormat="1" applyFont="1" applyFill="1" applyBorder="1"/>
    <xf numFmtId="167" fontId="1" fillId="2" borderId="3" xfId="0" applyNumberFormat="1" applyFont="1" applyFill="1" applyBorder="1"/>
    <xf numFmtId="165" fontId="0" fillId="7" borderId="3" xfId="0" applyNumberFormat="1" applyFill="1" applyBorder="1"/>
    <xf numFmtId="166" fontId="0" fillId="7" borderId="3" xfId="0" applyNumberFormat="1" applyFill="1" applyBorder="1"/>
    <xf numFmtId="3" fontId="0" fillId="7" borderId="3" xfId="0" applyNumberFormat="1" applyFill="1" applyBorder="1"/>
    <xf numFmtId="167" fontId="0" fillId="7" borderId="3" xfId="0" applyNumberFormat="1" applyFill="1" applyBorder="1"/>
    <xf numFmtId="166" fontId="0" fillId="7" borderId="4" xfId="0" applyNumberFormat="1" applyFill="1" applyBorder="1"/>
    <xf numFmtId="2" fontId="0" fillId="7" borderId="3" xfId="0" applyNumberFormat="1" applyFill="1" applyBorder="1"/>
    <xf numFmtId="168" fontId="0" fillId="0" borderId="0" xfId="0" applyNumberFormat="1"/>
    <xf numFmtId="0" fontId="0" fillId="8" borderId="0" xfId="0" applyFill="1"/>
    <xf numFmtId="0" fontId="0" fillId="9" borderId="0" xfId="0" applyFill="1"/>
    <xf numFmtId="0" fontId="5" fillId="10" borderId="0" xfId="0" applyFont="1" applyFill="1"/>
    <xf numFmtId="0" fontId="0" fillId="10" borderId="0" xfId="0" applyFill="1"/>
    <xf numFmtId="0" fontId="0" fillId="0" borderId="0" xfId="0" applyNumberFormat="1"/>
  </cellXfs>
  <cellStyles count="1">
    <cellStyle name="Normal" xfId="0" builtinId="0"/>
  </cellStyles>
  <dxfs count="11">
    <dxf>
      <numFmt numFmtId="166" formatCode="0.0%"/>
    </dxf>
    <dxf>
      <numFmt numFmtId="167" formatCode="#,##0.0"/>
    </dxf>
    <dxf>
      <numFmt numFmtId="166" formatCode="0.0%"/>
    </dxf>
    <dxf>
      <numFmt numFmtId="167" formatCode="#,##0.0"/>
    </dxf>
    <dxf>
      <numFmt numFmtId="3" formatCode="#,##0"/>
    </dxf>
    <dxf>
      <numFmt numFmtId="166" formatCode="0.0%"/>
    </dxf>
    <dxf>
      <numFmt numFmtId="165" formatCode="\ #,##0.0"/>
    </dxf>
    <dxf>
      <numFmt numFmtId="165" formatCode="\ #,##0.0"/>
    </dxf>
    <dxf>
      <numFmt numFmtId="165" formatCode="\ #,##0.0"/>
    </dxf>
    <dxf>
      <font>
        <b val="0"/>
        <i val="0"/>
        <strike val="0"/>
        <condense val="0"/>
        <extend val="0"/>
        <outline val="0"/>
        <shadow val="0"/>
        <u val="none"/>
        <vertAlign val="baseline"/>
        <sz val="11"/>
        <color auto="1"/>
        <name val="Calibri"/>
        <family val="2"/>
        <scheme val="minor"/>
      </font>
      <numFmt numFmtId="168" formatCode="mmm/yyyy"/>
      <fill>
        <patternFill patternType="solid">
          <fgColor indexed="64"/>
          <bgColor rgb="FFFFFFFF"/>
        </patternFill>
      </fill>
      <alignment horizontal="right" vertical="center" textRotation="0" wrapText="1" indent="0" justifyLastLine="0" shrinkToFit="0" readingOrder="0"/>
      <border diagonalUp="0" diagonalDown="0" outline="0">
        <left/>
        <right/>
        <top/>
        <bottom style="medium">
          <color rgb="FFDBE4F0"/>
        </bottom>
      </border>
    </dxf>
    <dxf>
      <fill>
        <patternFill>
          <bgColor theme="4" tint="-0.24994659260841701"/>
        </patternFill>
      </fill>
    </dxf>
  </dxfs>
  <tableStyles count="1" defaultTableStyle="TableStyleMedium2" defaultPivotStyle="PivotStyleLight16">
    <tableStyle name="Slicer Style 1" pivot="0" table="0" count="1" xr9:uid="{ACA256F3-CE40-4099-A8CF-D0F2BF820B35}">
      <tableStyleElement type="wholeTable" dxfId="10"/>
    </tableStyle>
  </tableStyles>
  <colors>
    <mruColors>
      <color rgb="FF8BED8D"/>
      <color rgb="FFF73B3B"/>
      <color rgb="FFFF2D2D"/>
      <color rgb="FFF23C1E"/>
      <color rgb="FF000000"/>
      <color rgb="FFCCC7D2"/>
      <color rgb="FF115F9A"/>
      <color rgb="FF000075"/>
      <color rgb="FF1984C5"/>
      <color rgb="FF22A7F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10/relationships/person" Target="persons/person.xml"/><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microsoft.com/office/2007/relationships/slicerCache" Target="slicerCaches/slicerCache1.xml"/><Relationship Id="rId12" Type="http://schemas.openxmlformats.org/officeDocument/2006/relationships/powerPivotData" Target="model/item.data"/><Relationship Id="rId17" Type="http://schemas.openxmlformats.org/officeDocument/2006/relationships/customXml" Target="../customXml/item3.xml"/><Relationship Id="rId25"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24" Type="http://schemas.openxmlformats.org/officeDocument/2006/relationships/customXml" Target="../customXml/item10.xml"/><Relationship Id="rId5" Type="http://schemas.openxmlformats.org/officeDocument/2006/relationships/worksheet" Target="worksheets/sheet5.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styles" Target="styles.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alcChain" Target="calcChain.xml"/><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[IRCTC_DASHBOARD.xlsx]PIVOT_TABLE1!PivotTable1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v/s Expense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00204399228857"/>
          <c:y val="0.13730626971340398"/>
          <c:w val="0.71603067730471748"/>
          <c:h val="0.76443758379123472"/>
        </c:manualLayout>
      </c:layout>
      <c:lineChart>
        <c:grouping val="standard"/>
        <c:varyColors val="0"/>
        <c:ser>
          <c:idx val="0"/>
          <c:order val="0"/>
          <c:tx>
            <c:strRef>
              <c:f>PIVOT_TABLE1!$B$3</c:f>
              <c:strCache>
                <c:ptCount val="1"/>
                <c:pt idx="0">
                  <c:v>Expenses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PIVOT_TABLE1!$A$4:$A$15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PIVOT_TABLE1!$B$4:$B$15</c:f>
              <c:numCache>
                <c:formatCode>\ #,##0.0</c:formatCode>
                <c:ptCount val="11"/>
                <c:pt idx="0">
                  <c:v>907</c:v>
                </c:pt>
                <c:pt idx="1">
                  <c:v>1176</c:v>
                </c:pt>
                <c:pt idx="2">
                  <c:v>1206</c:v>
                </c:pt>
                <c:pt idx="3">
                  <c:v>1192</c:v>
                </c:pt>
                <c:pt idx="4">
                  <c:v>1487</c:v>
                </c:pt>
                <c:pt idx="5">
                  <c:v>1562</c:v>
                </c:pt>
                <c:pt idx="6">
                  <c:v>589</c:v>
                </c:pt>
                <c:pt idx="7">
                  <c:v>1005</c:v>
                </c:pt>
                <c:pt idx="8">
                  <c:v>2265</c:v>
                </c:pt>
                <c:pt idx="9">
                  <c:v>2794</c:v>
                </c:pt>
                <c:pt idx="10">
                  <c:v>3124</c:v>
                </c:pt>
              </c:numCache>
            </c:numRef>
          </c:val>
          <c:smooth val="0"/>
          <c:extLst>
            <c:ext xmlns:c16="http://schemas.microsoft.com/office/drawing/2014/chart" uri="{C3380CC4-5D6E-409C-BE32-E72D297353CC}">
              <c16:uniqueId val="{00000000-D59D-4F66-A044-44C33EAD7262}"/>
            </c:ext>
          </c:extLst>
        </c:ser>
        <c:ser>
          <c:idx val="1"/>
          <c:order val="1"/>
          <c:tx>
            <c:strRef>
              <c:f>PIVOT_TABLE1!$C$3</c:f>
              <c:strCache>
                <c:ptCount val="1"/>
                <c:pt idx="0">
                  <c:v>Sales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PIVOT_TABLE1!$A$4:$A$15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PIVOT_TABLE1!$C$4:$C$15</c:f>
              <c:numCache>
                <c:formatCode>\ #,##0.0</c:formatCode>
                <c:ptCount val="11"/>
                <c:pt idx="0">
                  <c:v>1059</c:v>
                </c:pt>
                <c:pt idx="1">
                  <c:v>1367</c:v>
                </c:pt>
                <c:pt idx="2">
                  <c:v>1520</c:v>
                </c:pt>
                <c:pt idx="3">
                  <c:v>1466</c:v>
                </c:pt>
                <c:pt idx="4">
                  <c:v>1870</c:v>
                </c:pt>
                <c:pt idx="5">
                  <c:v>2264</c:v>
                </c:pt>
                <c:pt idx="6">
                  <c:v>777</c:v>
                </c:pt>
                <c:pt idx="7">
                  <c:v>1879</c:v>
                </c:pt>
                <c:pt idx="8">
                  <c:v>3541</c:v>
                </c:pt>
                <c:pt idx="9">
                  <c:v>4260</c:v>
                </c:pt>
                <c:pt idx="10">
                  <c:v>4675</c:v>
                </c:pt>
              </c:numCache>
            </c:numRef>
          </c:val>
          <c:smooth val="0"/>
          <c:extLst>
            <c:ext xmlns:c16="http://schemas.microsoft.com/office/drawing/2014/chart" uri="{C3380CC4-5D6E-409C-BE32-E72D297353CC}">
              <c16:uniqueId val="{00000001-D59D-4F66-A044-44C33EAD7262}"/>
            </c:ext>
          </c:extLst>
        </c:ser>
        <c:dLbls>
          <c:showLegendKey val="0"/>
          <c:showVal val="0"/>
          <c:showCatName val="0"/>
          <c:showSerName val="0"/>
          <c:showPercent val="0"/>
          <c:showBubbleSize val="0"/>
        </c:dLbls>
        <c:marker val="1"/>
        <c:smooth val="0"/>
        <c:axId val="1880037583"/>
        <c:axId val="1880049583"/>
      </c:lineChart>
      <c:catAx>
        <c:axId val="188003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80049583"/>
        <c:crosses val="autoZero"/>
        <c:auto val="1"/>
        <c:lblAlgn val="ctr"/>
        <c:lblOffset val="100"/>
        <c:noMultiLvlLbl val="0"/>
      </c:catAx>
      <c:valAx>
        <c:axId val="1880049583"/>
        <c:scaling>
          <c:orientation val="minMax"/>
        </c:scaling>
        <c:delete val="0"/>
        <c:axPos val="l"/>
        <c:majorGridlines>
          <c:spPr>
            <a:ln w="9525" cap="flat" cmpd="sng" algn="ctr">
              <a:solidFill>
                <a:schemeClr val="tx1">
                  <a:lumMod val="15000"/>
                  <a:lumOff val="85000"/>
                </a:schemeClr>
              </a:solidFill>
              <a:round/>
            </a:ln>
            <a:effectLst/>
          </c:spPr>
        </c:majorGridlines>
        <c:numFmt formatCode="\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80037583"/>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Entry>
      <c:layout>
        <c:manualLayout>
          <c:xMode val="edge"/>
          <c:yMode val="edge"/>
          <c:x val="0.86958937240145862"/>
          <c:y val="0.43693601700363821"/>
          <c:w val="0.11671979885257705"/>
          <c:h val="9.975114782121975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[IRCTC_DASHBOARD.xlsx]PIVOT_TABLE1!PivotTable2</c:name>
    <c:fmtId val="6"/>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OPM%</a:t>
            </a:r>
            <a:r>
              <a:rPr lang="en-US" baseline="0">
                <a:solidFill>
                  <a:sysClr val="windowText" lastClr="000000"/>
                </a:solidFill>
              </a:rPr>
              <a:t> By Year</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ln w="28575" cap="rnd">
            <a:solidFill>
              <a:srgbClr val="0070C0"/>
            </a:solidFill>
            <a:round/>
          </a:ln>
          <a:effectLst/>
        </c:spPr>
        <c:marker>
          <c:symbol val="circle"/>
          <c:size val="5"/>
          <c:spPr>
            <a:solidFill>
              <a:schemeClr val="bg2">
                <a:lumMod val="10000"/>
              </a:schemeClr>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0070C0"/>
            </a:solidFill>
            <a:round/>
          </a:ln>
          <a:effectLst/>
        </c:spPr>
        <c:marker>
          <c:symbol val="circle"/>
          <c:size val="5"/>
          <c:spPr>
            <a:solidFill>
              <a:schemeClr val="bg2">
                <a:lumMod val="10000"/>
              </a:schemeClr>
            </a:solidFill>
            <a:ln w="9525">
              <a:solidFill>
                <a:schemeClr val="accent1"/>
              </a:solidFill>
            </a:ln>
            <a:effectLst/>
          </c:spPr>
        </c:marker>
        <c:dLbl>
          <c:idx val="0"/>
          <c:layout>
            <c:manualLayout>
              <c:x val="-4.693774795870085E-2"/>
              <c:y val="-8.1686575953637292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PIVOT_TABLE1!$B$21</c:f>
              <c:strCache>
                <c:ptCount val="1"/>
                <c:pt idx="0">
                  <c:v>Total</c:v>
                </c:pt>
              </c:strCache>
            </c:strRef>
          </c:tx>
          <c:spPr>
            <a:ln w="28575" cap="rnd">
              <a:solidFill>
                <a:srgbClr val="0070C0"/>
              </a:solidFill>
              <a:round/>
            </a:ln>
            <a:effectLst/>
          </c:spPr>
          <c:marker>
            <c:symbol val="circle"/>
            <c:size val="5"/>
            <c:spPr>
              <a:solidFill>
                <a:schemeClr val="bg2">
                  <a:lumMod val="10000"/>
                </a:schemeClr>
              </a:solidFill>
              <a:ln w="9525">
                <a:solidFill>
                  <a:schemeClr val="accent1"/>
                </a:solidFill>
              </a:ln>
              <a:effectLst/>
            </c:spPr>
          </c:marker>
          <c:dPt>
            <c:idx val="6"/>
            <c:marker>
              <c:symbol val="circle"/>
              <c:size val="5"/>
              <c:spPr>
                <a:solidFill>
                  <a:schemeClr val="bg2">
                    <a:lumMod val="10000"/>
                  </a:schemeClr>
                </a:solidFill>
                <a:ln w="9525">
                  <a:solidFill>
                    <a:schemeClr val="accent1"/>
                  </a:solidFill>
                </a:ln>
                <a:effectLst/>
              </c:spPr>
            </c:marker>
            <c:bubble3D val="0"/>
            <c:spPr>
              <a:ln w="28575" cap="rnd">
                <a:solidFill>
                  <a:srgbClr val="0070C0"/>
                </a:solidFill>
                <a:round/>
              </a:ln>
              <a:effectLst/>
            </c:spPr>
            <c:extLst>
              <c:ext xmlns:c16="http://schemas.microsoft.com/office/drawing/2014/chart" uri="{C3380CC4-5D6E-409C-BE32-E72D297353CC}">
                <c16:uniqueId val="{00000002-EAE7-47DD-9421-E57611189945}"/>
              </c:ext>
            </c:extLst>
          </c:dPt>
          <c:dLbls>
            <c:dLbl>
              <c:idx val="6"/>
              <c:layout>
                <c:manualLayout>
                  <c:x val="-4.693774795870085E-2"/>
                  <c:y val="-8.16865759536372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AE7-47DD-9421-E57611189945}"/>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PIVOT_TABLE1!$A$22:$A$33</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PIVOT_TABLE1!$B$22:$B$33</c:f>
              <c:numCache>
                <c:formatCode>0.0%</c:formatCode>
                <c:ptCount val="11"/>
                <c:pt idx="0">
                  <c:v>0.14000000000000001</c:v>
                </c:pt>
                <c:pt idx="1">
                  <c:v>0.14000000000000001</c:v>
                </c:pt>
                <c:pt idx="2">
                  <c:v>0.21</c:v>
                </c:pt>
                <c:pt idx="3">
                  <c:v>0.19</c:v>
                </c:pt>
                <c:pt idx="4">
                  <c:v>0.2</c:v>
                </c:pt>
                <c:pt idx="5">
                  <c:v>0.31</c:v>
                </c:pt>
                <c:pt idx="6">
                  <c:v>0.24</c:v>
                </c:pt>
                <c:pt idx="7">
                  <c:v>0.47</c:v>
                </c:pt>
                <c:pt idx="8">
                  <c:v>0.36</c:v>
                </c:pt>
                <c:pt idx="9">
                  <c:v>0.34</c:v>
                </c:pt>
                <c:pt idx="10">
                  <c:v>0.33</c:v>
                </c:pt>
              </c:numCache>
            </c:numRef>
          </c:val>
          <c:smooth val="0"/>
          <c:extLst>
            <c:ext xmlns:c16="http://schemas.microsoft.com/office/drawing/2014/chart" uri="{C3380CC4-5D6E-409C-BE32-E72D297353CC}">
              <c16:uniqueId val="{00000000-EAE7-47DD-9421-E57611189945}"/>
            </c:ext>
          </c:extLst>
        </c:ser>
        <c:dLbls>
          <c:dLblPos val="t"/>
          <c:showLegendKey val="0"/>
          <c:showVal val="1"/>
          <c:showCatName val="0"/>
          <c:showSerName val="0"/>
          <c:showPercent val="0"/>
          <c:showBubbleSize val="0"/>
        </c:dLbls>
        <c:marker val="1"/>
        <c:smooth val="0"/>
        <c:axId val="1879197359"/>
        <c:axId val="1879194479"/>
      </c:lineChart>
      <c:catAx>
        <c:axId val="1879197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79194479"/>
        <c:crosses val="autoZero"/>
        <c:auto val="1"/>
        <c:lblAlgn val="ctr"/>
        <c:lblOffset val="100"/>
        <c:noMultiLvlLbl val="0"/>
      </c:catAx>
      <c:valAx>
        <c:axId val="1879194479"/>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79197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[IRCTC_DASHBOARD.xlsx]PIVOT_TABLE1!PivotTable3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a:t>
            </a:r>
            <a:r>
              <a:rPr lang="en-US" baseline="0"/>
              <a:t> Profit By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quot;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PIVOT_TABLE1!$B$38</c:f>
              <c:strCache>
                <c:ptCount val="1"/>
                <c:pt idx="0">
                  <c:v>Total</c:v>
                </c:pt>
              </c:strCache>
            </c:strRef>
          </c:tx>
          <c:spPr>
            <a:solidFill>
              <a:schemeClr val="accent1"/>
            </a:solidFill>
            <a:ln>
              <a:noFill/>
            </a:ln>
            <a:effectLst/>
          </c:spPr>
          <c:invertIfNegative val="0"/>
          <c:dLbls>
            <c:numFmt formatCode="0\ &quot;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PIVOT_TABLE1!$A$39:$A$50</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PIVOT_TABLE1!$B$39:$B$50</c:f>
              <c:numCache>
                <c:formatCode>#,##0.0</c:formatCode>
                <c:ptCount val="11"/>
                <c:pt idx="0">
                  <c:v>131</c:v>
                </c:pt>
                <c:pt idx="1">
                  <c:v>189</c:v>
                </c:pt>
                <c:pt idx="2">
                  <c:v>229</c:v>
                </c:pt>
                <c:pt idx="3">
                  <c:v>221</c:v>
                </c:pt>
                <c:pt idx="4">
                  <c:v>309</c:v>
                </c:pt>
                <c:pt idx="5">
                  <c:v>513</c:v>
                </c:pt>
                <c:pt idx="6">
                  <c:v>187</c:v>
                </c:pt>
                <c:pt idx="7">
                  <c:v>660</c:v>
                </c:pt>
                <c:pt idx="8">
                  <c:v>1006</c:v>
                </c:pt>
                <c:pt idx="9">
                  <c:v>1111</c:v>
                </c:pt>
                <c:pt idx="10">
                  <c:v>1315</c:v>
                </c:pt>
              </c:numCache>
            </c:numRef>
          </c:val>
          <c:extLst>
            <c:ext xmlns:c16="http://schemas.microsoft.com/office/drawing/2014/chart" uri="{C3380CC4-5D6E-409C-BE32-E72D297353CC}">
              <c16:uniqueId val="{00000000-5B40-4D38-A182-10EAAD31F91A}"/>
            </c:ext>
          </c:extLst>
        </c:ser>
        <c:dLbls>
          <c:dLblPos val="outEnd"/>
          <c:showLegendKey val="0"/>
          <c:showVal val="1"/>
          <c:showCatName val="0"/>
          <c:showSerName val="0"/>
          <c:showPercent val="0"/>
          <c:showBubbleSize val="0"/>
        </c:dLbls>
        <c:gapWidth val="219"/>
        <c:overlap val="-27"/>
        <c:axId val="1880048623"/>
        <c:axId val="1880044303"/>
      </c:barChart>
      <c:catAx>
        <c:axId val="1880048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044303"/>
        <c:crosses val="autoZero"/>
        <c:auto val="1"/>
        <c:lblAlgn val="ctr"/>
        <c:lblOffset val="100"/>
        <c:noMultiLvlLbl val="0"/>
      </c:catAx>
      <c:valAx>
        <c:axId val="1880044303"/>
        <c:scaling>
          <c:orientation val="minMax"/>
        </c:scaling>
        <c:delete val="1"/>
        <c:axPos val="l"/>
        <c:numFmt formatCode="#,##0.0" sourceLinked="1"/>
        <c:majorTickMark val="none"/>
        <c:minorTickMark val="none"/>
        <c:tickLblPos val="nextTo"/>
        <c:crossAx val="1880048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[IRCTC_DASHBOARD.xlsx]PIVOT_TABLE1!PivotTable4</c:name>
    <c:fmtId val="15"/>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Tax%</a:t>
            </a:r>
            <a:r>
              <a:rPr lang="en-US" baseline="0"/>
              <a:t> By Year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1.4265335235378032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PIVOT_TABLE1!$B$55</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2-FC44-492C-8C55-19A643BC5CDB}"/>
              </c:ext>
            </c:extLst>
          </c:dPt>
          <c:dLbls>
            <c:dLbl>
              <c:idx val="0"/>
              <c:layout>
                <c:manualLayout>
                  <c:x val="1.4265335235378032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C44-492C-8C55-19A643BC5C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PIVOT_TABLE1!$A$56:$A$67</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PIVOT_TABLE1!$B$56:$B$67</c:f>
              <c:numCache>
                <c:formatCode>0.0%</c:formatCode>
                <c:ptCount val="11"/>
                <c:pt idx="0">
                  <c:v>0.39</c:v>
                </c:pt>
                <c:pt idx="1">
                  <c:v>0.39</c:v>
                </c:pt>
                <c:pt idx="2">
                  <c:v>0.35</c:v>
                </c:pt>
                <c:pt idx="3">
                  <c:v>0.36</c:v>
                </c:pt>
                <c:pt idx="4">
                  <c:v>0.36</c:v>
                </c:pt>
                <c:pt idx="5">
                  <c:v>0.3</c:v>
                </c:pt>
                <c:pt idx="6">
                  <c:v>0.27</c:v>
                </c:pt>
                <c:pt idx="7">
                  <c:v>0.26</c:v>
                </c:pt>
                <c:pt idx="8">
                  <c:v>0.26</c:v>
                </c:pt>
                <c:pt idx="9">
                  <c:v>0.26</c:v>
                </c:pt>
                <c:pt idx="10">
                  <c:v>0.25</c:v>
                </c:pt>
              </c:numCache>
            </c:numRef>
          </c:val>
          <c:extLst>
            <c:ext xmlns:c16="http://schemas.microsoft.com/office/drawing/2014/chart" uri="{C3380CC4-5D6E-409C-BE32-E72D297353CC}">
              <c16:uniqueId val="{00000000-FC44-492C-8C55-19A643BC5CDB}"/>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2006862559"/>
        <c:axId val="2006857279"/>
      </c:areaChart>
      <c:catAx>
        <c:axId val="200686255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2006857279"/>
        <c:crosses val="autoZero"/>
        <c:auto val="1"/>
        <c:lblAlgn val="ctr"/>
        <c:lblOffset val="100"/>
        <c:noMultiLvlLbl val="0"/>
      </c:catAx>
      <c:valAx>
        <c:axId val="200685727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068625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[IRCTC_DASHBOARD.xlsx]PIVOT_TABLE1!PivotTable5</c:name>
    <c:fmtId val="18"/>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Other</a:t>
            </a:r>
            <a:r>
              <a:rPr lang="en-US" baseline="0">
                <a:solidFill>
                  <a:sysClr val="windowText" lastClr="000000"/>
                </a:solidFill>
              </a:rPr>
              <a:t> Income By Year</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quot; 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PIVOT_TABLE1!$B$72</c:f>
              <c:strCache>
                <c:ptCount val="1"/>
                <c:pt idx="0">
                  <c:v>Total</c:v>
                </c:pt>
              </c:strCache>
            </c:strRef>
          </c:tx>
          <c:spPr>
            <a:solidFill>
              <a:schemeClr val="accent1"/>
            </a:solidFill>
            <a:ln>
              <a:noFill/>
            </a:ln>
            <a:effectLst/>
          </c:spPr>
          <c:invertIfNegative val="0"/>
          <c:dLbls>
            <c:numFmt formatCode="0&quot; 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PIVOT_TABLE1!$A$73:$A$84</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PIVOT_TABLE1!$B$73:$B$84</c:f>
              <c:numCache>
                <c:formatCode>#,##0</c:formatCode>
                <c:ptCount val="11"/>
                <c:pt idx="0">
                  <c:v>82</c:v>
                </c:pt>
                <c:pt idx="1">
                  <c:v>139</c:v>
                </c:pt>
                <c:pt idx="2">
                  <c:v>67</c:v>
                </c:pt>
                <c:pt idx="3">
                  <c:v>99</c:v>
                </c:pt>
                <c:pt idx="4">
                  <c:v>126</c:v>
                </c:pt>
                <c:pt idx="5">
                  <c:v>77</c:v>
                </c:pt>
                <c:pt idx="6">
                  <c:v>124</c:v>
                </c:pt>
                <c:pt idx="7">
                  <c:v>72</c:v>
                </c:pt>
                <c:pt idx="8">
                  <c:v>148</c:v>
                </c:pt>
                <c:pt idx="9">
                  <c:v>106</c:v>
                </c:pt>
                <c:pt idx="10">
                  <c:v>276</c:v>
                </c:pt>
              </c:numCache>
            </c:numRef>
          </c:val>
          <c:extLst>
            <c:ext xmlns:c16="http://schemas.microsoft.com/office/drawing/2014/chart" uri="{C3380CC4-5D6E-409C-BE32-E72D297353CC}">
              <c16:uniqueId val="{00000000-81A4-4205-8FC0-B8496CD59A8D}"/>
            </c:ext>
          </c:extLst>
        </c:ser>
        <c:dLbls>
          <c:dLblPos val="outEnd"/>
          <c:showLegendKey val="0"/>
          <c:showVal val="1"/>
          <c:showCatName val="0"/>
          <c:showSerName val="0"/>
          <c:showPercent val="0"/>
          <c:showBubbleSize val="0"/>
        </c:dLbls>
        <c:gapWidth val="96"/>
        <c:axId val="2006852479"/>
        <c:axId val="2006863999"/>
      </c:barChart>
      <c:catAx>
        <c:axId val="2006852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06863999"/>
        <c:crosses val="autoZero"/>
        <c:auto val="1"/>
        <c:lblAlgn val="ctr"/>
        <c:lblOffset val="100"/>
        <c:noMultiLvlLbl val="0"/>
      </c:catAx>
      <c:valAx>
        <c:axId val="2006863999"/>
        <c:scaling>
          <c:orientation val="minMax"/>
        </c:scaling>
        <c:delete val="1"/>
        <c:axPos val="b"/>
        <c:numFmt formatCode="#,##0" sourceLinked="1"/>
        <c:majorTickMark val="none"/>
        <c:minorTickMark val="none"/>
        <c:tickLblPos val="nextTo"/>
        <c:crossAx val="200685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[IRCTC_DASHBOARD.xlsx]PIVOT_TABLE1!PivotTable7</c:name>
    <c:fmtId val="2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a:solidFill>
                  <a:sysClr val="windowText" lastClr="000000"/>
                </a:solidFill>
              </a:rPr>
              <a:t>Top</a:t>
            </a:r>
            <a:r>
              <a:rPr lang="en-IN" baseline="0">
                <a:solidFill>
                  <a:sysClr val="windowText" lastClr="000000"/>
                </a:solidFill>
              </a:rPr>
              <a:t> 5 Revenue And Expense</a:t>
            </a:r>
            <a:endParaRPr lang="en-IN">
              <a:solidFill>
                <a:sysClr val="windowText" lastClr="000000"/>
              </a:solidFill>
            </a:endParaRPr>
          </a:p>
        </c:rich>
      </c:tx>
      <c:layout>
        <c:manualLayout>
          <c:xMode val="edge"/>
          <c:yMode val="edge"/>
          <c:x val="0.37869899356105668"/>
          <c:y val="1.64001640016400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1.278772378516608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layout>
            <c:manualLayout>
              <c:x val="1.491901108269394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1.4919011082693947E-2"/>
              <c:y val="-7.516655001045014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8.5251491901108273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1.0656436487638534E-2"/>
              <c:y val="4.10004100040985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PIVOT_TABLE1!$B$104</c:f>
              <c:strCache>
                <c:ptCount val="1"/>
                <c:pt idx="0">
                  <c:v>Revenue</c:v>
                </c:pt>
              </c:strCache>
            </c:strRef>
          </c:tx>
          <c:spPr>
            <a:solidFill>
              <a:schemeClr val="accent1"/>
            </a:solidFill>
            <a:ln>
              <a:noFill/>
            </a:ln>
            <a:effectLst/>
          </c:spPr>
          <c:invertIfNegative val="0"/>
          <c:cat>
            <c:strRef>
              <c:f>PIVOT_TABLE1!$A$105:$A$110</c:f>
              <c:strCache>
                <c:ptCount val="5"/>
                <c:pt idx="0">
                  <c:v>2020</c:v>
                </c:pt>
                <c:pt idx="1">
                  <c:v>2022</c:v>
                </c:pt>
                <c:pt idx="2">
                  <c:v>2023</c:v>
                </c:pt>
                <c:pt idx="3">
                  <c:v>2024</c:v>
                </c:pt>
                <c:pt idx="4">
                  <c:v>2025</c:v>
                </c:pt>
              </c:strCache>
            </c:strRef>
          </c:cat>
          <c:val>
            <c:numRef>
              <c:f>PIVOT_TABLE1!$B$105:$B$110</c:f>
              <c:numCache>
                <c:formatCode>\ #,##0.0</c:formatCode>
                <c:ptCount val="5"/>
                <c:pt idx="0">
                  <c:v>2264</c:v>
                </c:pt>
                <c:pt idx="1">
                  <c:v>1879</c:v>
                </c:pt>
                <c:pt idx="2">
                  <c:v>3541</c:v>
                </c:pt>
                <c:pt idx="3">
                  <c:v>4260</c:v>
                </c:pt>
                <c:pt idx="4">
                  <c:v>4675</c:v>
                </c:pt>
              </c:numCache>
            </c:numRef>
          </c:val>
          <c:extLst>
            <c:ext xmlns:c16="http://schemas.microsoft.com/office/drawing/2014/chart" uri="{C3380CC4-5D6E-409C-BE32-E72D297353CC}">
              <c16:uniqueId val="{00000000-AE25-4FA2-A3BF-54155E393B03}"/>
            </c:ext>
          </c:extLst>
        </c:ser>
        <c:ser>
          <c:idx val="1"/>
          <c:order val="1"/>
          <c:tx>
            <c:strRef>
              <c:f>PIVOT_TABLE1!$C$104</c:f>
              <c:strCache>
                <c:ptCount val="1"/>
                <c:pt idx="0">
                  <c:v>Profit</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9-AE25-4FA2-A3BF-54155E393B03}"/>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8-AE25-4FA2-A3BF-54155E393B03}"/>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6-AE25-4FA2-A3BF-54155E393B03}"/>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7-AE25-4FA2-A3BF-54155E393B03}"/>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5-AE25-4FA2-A3BF-54155E393B03}"/>
              </c:ext>
            </c:extLst>
          </c:dPt>
          <c:dLbls>
            <c:dLbl>
              <c:idx val="0"/>
              <c:layout>
                <c:manualLayout>
                  <c:x val="1.0656436487638534E-2"/>
                  <c:y val="4.10004100040985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E25-4FA2-A3BF-54155E393B03}"/>
                </c:ext>
              </c:extLst>
            </c:dLbl>
            <c:dLbl>
              <c:idx val="1"/>
              <c:layout>
                <c:manualLayout>
                  <c:x val="8.5251491901108273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E25-4FA2-A3BF-54155E393B03}"/>
                </c:ext>
              </c:extLst>
            </c:dLbl>
            <c:dLbl>
              <c:idx val="2"/>
              <c:layout>
                <c:manualLayout>
                  <c:x val="1.491901108269394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E25-4FA2-A3BF-54155E393B03}"/>
                </c:ext>
              </c:extLst>
            </c:dLbl>
            <c:dLbl>
              <c:idx val="3"/>
              <c:layout>
                <c:manualLayout>
                  <c:x val="1.4919011082693947E-2"/>
                  <c:y val="-7.5166550010450141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E25-4FA2-A3BF-54155E393B03}"/>
                </c:ext>
              </c:extLst>
            </c:dLbl>
            <c:dLbl>
              <c:idx val="4"/>
              <c:layout>
                <c:manualLayout>
                  <c:x val="1.2787723785166084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E25-4FA2-A3BF-54155E393B0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PIVOT_TABLE1!$A$105:$A$110</c:f>
              <c:strCache>
                <c:ptCount val="5"/>
                <c:pt idx="0">
                  <c:v>2020</c:v>
                </c:pt>
                <c:pt idx="1">
                  <c:v>2022</c:v>
                </c:pt>
                <c:pt idx="2">
                  <c:v>2023</c:v>
                </c:pt>
                <c:pt idx="3">
                  <c:v>2024</c:v>
                </c:pt>
                <c:pt idx="4">
                  <c:v>2025</c:v>
                </c:pt>
              </c:strCache>
            </c:strRef>
          </c:cat>
          <c:val>
            <c:numRef>
              <c:f>PIVOT_TABLE1!$C$105:$C$110</c:f>
              <c:numCache>
                <c:formatCode>#,##0.0</c:formatCode>
                <c:ptCount val="5"/>
                <c:pt idx="0">
                  <c:v>513</c:v>
                </c:pt>
                <c:pt idx="1">
                  <c:v>660</c:v>
                </c:pt>
                <c:pt idx="2">
                  <c:v>1006</c:v>
                </c:pt>
                <c:pt idx="3">
                  <c:v>1111</c:v>
                </c:pt>
                <c:pt idx="4">
                  <c:v>1315</c:v>
                </c:pt>
              </c:numCache>
            </c:numRef>
          </c:val>
          <c:extLst>
            <c:ext xmlns:c16="http://schemas.microsoft.com/office/drawing/2014/chart" uri="{C3380CC4-5D6E-409C-BE32-E72D297353CC}">
              <c16:uniqueId val="{00000004-AE25-4FA2-A3BF-54155E393B03}"/>
            </c:ext>
          </c:extLst>
        </c:ser>
        <c:dLbls>
          <c:showLegendKey val="0"/>
          <c:showVal val="0"/>
          <c:showCatName val="0"/>
          <c:showSerName val="0"/>
          <c:showPercent val="0"/>
          <c:showBubbleSize val="0"/>
        </c:dLbls>
        <c:gapWidth val="219"/>
        <c:overlap val="-27"/>
        <c:axId val="142813711"/>
        <c:axId val="142814191"/>
      </c:barChart>
      <c:catAx>
        <c:axId val="1428137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2814191"/>
        <c:crosses val="autoZero"/>
        <c:auto val="1"/>
        <c:lblAlgn val="ctr"/>
        <c:lblOffset val="100"/>
        <c:noMultiLvlLbl val="0"/>
      </c:catAx>
      <c:valAx>
        <c:axId val="142814191"/>
        <c:scaling>
          <c:orientation val="minMax"/>
        </c:scaling>
        <c:delete val="0"/>
        <c:axPos val="l"/>
        <c:numFmt formatCode="\ #,##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2813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[IRCTC_DASHBOARD.xlsx]PIVOT_TABLE1!PivotTable8</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EPS vs Dividend Payout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PIVOT_TABLE1!$C$120</c:f>
              <c:strCache>
                <c:ptCount val="1"/>
                <c:pt idx="0">
                  <c:v>EPS </c:v>
                </c:pt>
              </c:strCache>
            </c:strRef>
          </c:tx>
          <c:spPr>
            <a:solidFill>
              <a:schemeClr val="accent2"/>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4-F1DB-45A9-BC09-F89D7DB0E6F5}"/>
              </c:ext>
            </c:extLst>
          </c:dPt>
          <c:dLbls>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1DB-45A9-BC09-F89D7DB0E6F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PIVOT_TABLE1!$A$121:$A$132</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PIVOT_TABLE1!$C$121:$C$132</c:f>
              <c:numCache>
                <c:formatCode>General</c:formatCode>
                <c:ptCount val="11"/>
                <c:pt idx="0">
                  <c:v>13.06</c:v>
                </c:pt>
                <c:pt idx="1">
                  <c:v>18.86</c:v>
                </c:pt>
                <c:pt idx="2">
                  <c:v>11.45</c:v>
                </c:pt>
                <c:pt idx="3">
                  <c:v>11.03</c:v>
                </c:pt>
                <c:pt idx="4">
                  <c:v>3.86</c:v>
                </c:pt>
                <c:pt idx="5">
                  <c:v>6.41</c:v>
                </c:pt>
                <c:pt idx="6">
                  <c:v>2.34</c:v>
                </c:pt>
                <c:pt idx="7">
                  <c:v>8.24</c:v>
                </c:pt>
                <c:pt idx="8">
                  <c:v>12.57</c:v>
                </c:pt>
                <c:pt idx="9">
                  <c:v>13.89</c:v>
                </c:pt>
                <c:pt idx="10">
                  <c:v>16.43</c:v>
                </c:pt>
              </c:numCache>
            </c:numRef>
          </c:val>
          <c:extLst>
            <c:ext xmlns:c16="http://schemas.microsoft.com/office/drawing/2014/chart" uri="{C3380CC4-5D6E-409C-BE32-E72D297353CC}">
              <c16:uniqueId val="{00000001-F1DB-45A9-BC09-F89D7DB0E6F5}"/>
            </c:ext>
          </c:extLst>
        </c:ser>
        <c:dLbls>
          <c:showLegendKey val="0"/>
          <c:showVal val="0"/>
          <c:showCatName val="0"/>
          <c:showSerName val="0"/>
          <c:showPercent val="0"/>
          <c:showBubbleSize val="0"/>
        </c:dLbls>
        <c:gapWidth val="219"/>
        <c:axId val="2042861295"/>
        <c:axId val="2042861775"/>
      </c:barChart>
      <c:lineChart>
        <c:grouping val="standard"/>
        <c:varyColors val="0"/>
        <c:ser>
          <c:idx val="0"/>
          <c:order val="0"/>
          <c:tx>
            <c:strRef>
              <c:f>PIVOT_TABLE1!$B$120</c:f>
              <c:strCache>
                <c:ptCount val="1"/>
                <c:pt idx="0">
                  <c:v> Dividend %</c:v>
                </c:pt>
              </c:strCache>
            </c:strRef>
          </c:tx>
          <c:spPr>
            <a:ln w="28575" cap="rnd">
              <a:solidFill>
                <a:schemeClr val="accent1"/>
              </a:solidFill>
              <a:round/>
            </a:ln>
            <a:effectLst/>
          </c:spPr>
          <c:marker>
            <c:symbol val="none"/>
          </c:marker>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3-F1DB-45A9-BC09-F89D7DB0E6F5}"/>
              </c:ext>
            </c:extLst>
          </c:dPt>
          <c:dLbls>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1DB-45A9-BC09-F89D7DB0E6F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PIVOT_TABLE1!$A$121:$A$132</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PIVOT_TABLE1!$B$121:$B$132</c:f>
              <c:numCache>
                <c:formatCode>0.0%</c:formatCode>
                <c:ptCount val="11"/>
                <c:pt idx="0">
                  <c:v>0.2</c:v>
                </c:pt>
                <c:pt idx="1">
                  <c:v>0.4</c:v>
                </c:pt>
                <c:pt idx="2">
                  <c:v>0.49</c:v>
                </c:pt>
                <c:pt idx="3">
                  <c:v>0.21</c:v>
                </c:pt>
                <c:pt idx="4">
                  <c:v>0.98</c:v>
                </c:pt>
                <c:pt idx="5">
                  <c:v>0.39</c:v>
                </c:pt>
                <c:pt idx="6">
                  <c:v>0.43</c:v>
                </c:pt>
                <c:pt idx="7">
                  <c:v>0.42</c:v>
                </c:pt>
                <c:pt idx="8">
                  <c:v>0.44</c:v>
                </c:pt>
                <c:pt idx="9">
                  <c:v>0.47</c:v>
                </c:pt>
                <c:pt idx="10">
                  <c:v>0.49</c:v>
                </c:pt>
              </c:numCache>
            </c:numRef>
          </c:val>
          <c:smooth val="0"/>
          <c:extLst>
            <c:ext xmlns:c16="http://schemas.microsoft.com/office/drawing/2014/chart" uri="{C3380CC4-5D6E-409C-BE32-E72D297353CC}">
              <c16:uniqueId val="{00000000-F1DB-45A9-BC09-F89D7DB0E6F5}"/>
            </c:ext>
          </c:extLst>
        </c:ser>
        <c:dLbls>
          <c:showLegendKey val="0"/>
          <c:showVal val="0"/>
          <c:showCatName val="0"/>
          <c:showSerName val="0"/>
          <c:showPercent val="0"/>
          <c:showBubbleSize val="0"/>
        </c:dLbls>
        <c:marker val="1"/>
        <c:smooth val="0"/>
        <c:axId val="758081759"/>
        <c:axId val="758079359"/>
      </c:lineChart>
      <c:catAx>
        <c:axId val="2042861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861775"/>
        <c:crosses val="autoZero"/>
        <c:auto val="1"/>
        <c:lblAlgn val="ctr"/>
        <c:lblOffset val="100"/>
        <c:noMultiLvlLbl val="0"/>
      </c:catAx>
      <c:valAx>
        <c:axId val="2042861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861295"/>
        <c:crosses val="autoZero"/>
        <c:crossBetween val="between"/>
      </c:valAx>
      <c:valAx>
        <c:axId val="758079359"/>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081759"/>
        <c:crosses val="max"/>
        <c:crossBetween val="between"/>
      </c:valAx>
      <c:catAx>
        <c:axId val="758081759"/>
        <c:scaling>
          <c:orientation val="minMax"/>
        </c:scaling>
        <c:delete val="1"/>
        <c:axPos val="b"/>
        <c:numFmt formatCode="General" sourceLinked="1"/>
        <c:majorTickMark val="out"/>
        <c:minorTickMark val="none"/>
        <c:tickLblPos val="nextTo"/>
        <c:crossAx val="75807935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[IRCTC_DASHBOARD.xlsx]PIVOT_TABLE1!PivotTable1</c:name>
    <c:fmtId val="8"/>
  </c:pivotSource>
  <c:chart>
    <c:title>
      <c:tx>
        <c:rich>
          <a:bodyPr rot="0" spcFirstLastPara="1" vertOverflow="ellipsis" vert="horz" wrap="square" anchor="ctr" anchorCtr="1"/>
          <a:lstStyle/>
          <a:p>
            <a:pPr>
              <a:defRPr sz="1000" b="0" i="0" u="none" strike="noStrike" kern="1200" spc="0" baseline="0">
                <a:solidFill>
                  <a:schemeClr val="tx1"/>
                </a:solidFill>
                <a:latin typeface="+mn-lt"/>
                <a:ea typeface="+mn-ea"/>
                <a:cs typeface="+mn-cs"/>
              </a:defRPr>
            </a:pPr>
            <a:r>
              <a:rPr lang="en-IN" sz="1000">
                <a:solidFill>
                  <a:schemeClr val="tx1"/>
                </a:solidFill>
              </a:rPr>
              <a:t>Revenue</a:t>
            </a:r>
            <a:r>
              <a:rPr lang="en-IN" sz="1000" baseline="0">
                <a:solidFill>
                  <a:schemeClr val="tx1"/>
                </a:solidFill>
              </a:rPr>
              <a:t> v/s Expense </a:t>
            </a:r>
            <a:endParaRPr lang="en-IN" sz="1000">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000075"/>
            </a:solidFill>
            <a:round/>
          </a:ln>
          <a:effectLst/>
        </c:spPr>
        <c:marker>
          <c:symbol val="circle"/>
          <c:size val="5"/>
          <c:spPr>
            <a:solidFill>
              <a:srgbClr val="000075"/>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1984C5">
                <a:alpha val="92000"/>
              </a:srgbClr>
            </a:solidFill>
            <a:round/>
          </a:ln>
          <a:effectLst/>
        </c:spPr>
        <c:marker>
          <c:symbol val="circle"/>
          <c:size val="5"/>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23842592592592"/>
          <c:y val="0.13730621801771184"/>
          <c:w val="0.86522638888888903"/>
          <c:h val="0.76443758379123472"/>
        </c:manualLayout>
      </c:layout>
      <c:lineChart>
        <c:grouping val="standard"/>
        <c:varyColors val="0"/>
        <c:ser>
          <c:idx val="0"/>
          <c:order val="0"/>
          <c:tx>
            <c:strRef>
              <c:f>PIVOT_TABLE1!$B$3</c:f>
              <c:strCache>
                <c:ptCount val="1"/>
                <c:pt idx="0">
                  <c:v>Expenses </c:v>
                </c:pt>
              </c:strCache>
            </c:strRef>
          </c:tx>
          <c:spPr>
            <a:ln w="28575" cap="rnd">
              <a:solidFill>
                <a:srgbClr val="000075"/>
              </a:solidFill>
              <a:round/>
            </a:ln>
            <a:effectLst/>
          </c:spPr>
          <c:marker>
            <c:symbol val="circle"/>
            <c:size val="5"/>
            <c:spPr>
              <a:solidFill>
                <a:srgbClr val="000075"/>
              </a:solidFill>
              <a:ln w="9525">
                <a:noFill/>
              </a:ln>
              <a:effectLst/>
            </c:spPr>
          </c:marker>
          <c:cat>
            <c:strRef>
              <c:f>PIVOT_TABLE1!$A$4:$A$15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PIVOT_TABLE1!$B$4:$B$15</c:f>
              <c:numCache>
                <c:formatCode>\ #,##0.0</c:formatCode>
                <c:ptCount val="11"/>
                <c:pt idx="0">
                  <c:v>907</c:v>
                </c:pt>
                <c:pt idx="1">
                  <c:v>1176</c:v>
                </c:pt>
                <c:pt idx="2">
                  <c:v>1206</c:v>
                </c:pt>
                <c:pt idx="3">
                  <c:v>1192</c:v>
                </c:pt>
                <c:pt idx="4">
                  <c:v>1487</c:v>
                </c:pt>
                <c:pt idx="5">
                  <c:v>1562</c:v>
                </c:pt>
                <c:pt idx="6">
                  <c:v>589</c:v>
                </c:pt>
                <c:pt idx="7">
                  <c:v>1005</c:v>
                </c:pt>
                <c:pt idx="8">
                  <c:v>2265</c:v>
                </c:pt>
                <c:pt idx="9">
                  <c:v>2794</c:v>
                </c:pt>
                <c:pt idx="10">
                  <c:v>3124</c:v>
                </c:pt>
              </c:numCache>
            </c:numRef>
          </c:val>
          <c:smooth val="0"/>
          <c:extLst>
            <c:ext xmlns:c16="http://schemas.microsoft.com/office/drawing/2014/chart" uri="{C3380CC4-5D6E-409C-BE32-E72D297353CC}">
              <c16:uniqueId val="{00000000-F8FA-406D-A1A2-842ABE77D085}"/>
            </c:ext>
          </c:extLst>
        </c:ser>
        <c:ser>
          <c:idx val="1"/>
          <c:order val="1"/>
          <c:tx>
            <c:strRef>
              <c:f>PIVOT_TABLE1!$C$3</c:f>
              <c:strCache>
                <c:ptCount val="1"/>
                <c:pt idx="0">
                  <c:v>Sales </c:v>
                </c:pt>
              </c:strCache>
            </c:strRef>
          </c:tx>
          <c:spPr>
            <a:ln w="28575" cap="rnd">
              <a:solidFill>
                <a:srgbClr val="1984C5">
                  <a:alpha val="92000"/>
                </a:srgbClr>
              </a:solidFill>
              <a:round/>
            </a:ln>
            <a:effectLst/>
          </c:spPr>
          <c:marker>
            <c:symbol val="circle"/>
            <c:size val="5"/>
            <c:spPr>
              <a:solidFill>
                <a:srgbClr val="0070C0"/>
              </a:solidFill>
              <a:ln w="9525">
                <a:noFill/>
              </a:ln>
              <a:effectLst/>
            </c:spPr>
          </c:marker>
          <c:cat>
            <c:strRef>
              <c:f>PIVOT_TABLE1!$A$4:$A$15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PIVOT_TABLE1!$C$4:$C$15</c:f>
              <c:numCache>
                <c:formatCode>\ #,##0.0</c:formatCode>
                <c:ptCount val="11"/>
                <c:pt idx="0">
                  <c:v>1059</c:v>
                </c:pt>
                <c:pt idx="1">
                  <c:v>1367</c:v>
                </c:pt>
                <c:pt idx="2">
                  <c:v>1520</c:v>
                </c:pt>
                <c:pt idx="3">
                  <c:v>1466</c:v>
                </c:pt>
                <c:pt idx="4">
                  <c:v>1870</c:v>
                </c:pt>
                <c:pt idx="5">
                  <c:v>2264</c:v>
                </c:pt>
                <c:pt idx="6">
                  <c:v>777</c:v>
                </c:pt>
                <c:pt idx="7">
                  <c:v>1879</c:v>
                </c:pt>
                <c:pt idx="8">
                  <c:v>3541</c:v>
                </c:pt>
                <c:pt idx="9">
                  <c:v>4260</c:v>
                </c:pt>
                <c:pt idx="10">
                  <c:v>4675</c:v>
                </c:pt>
              </c:numCache>
            </c:numRef>
          </c:val>
          <c:smooth val="0"/>
          <c:extLst>
            <c:ext xmlns:c16="http://schemas.microsoft.com/office/drawing/2014/chart" uri="{C3380CC4-5D6E-409C-BE32-E72D297353CC}">
              <c16:uniqueId val="{00000001-F8FA-406D-A1A2-842ABE77D085}"/>
            </c:ext>
          </c:extLst>
        </c:ser>
        <c:dLbls>
          <c:showLegendKey val="0"/>
          <c:showVal val="0"/>
          <c:showCatName val="0"/>
          <c:showSerName val="0"/>
          <c:showPercent val="0"/>
          <c:showBubbleSize val="0"/>
        </c:dLbls>
        <c:marker val="1"/>
        <c:smooth val="0"/>
        <c:axId val="1880037583"/>
        <c:axId val="1880049583"/>
      </c:lineChart>
      <c:catAx>
        <c:axId val="188003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80049583"/>
        <c:crosses val="autoZero"/>
        <c:auto val="1"/>
        <c:lblAlgn val="ctr"/>
        <c:lblOffset val="100"/>
        <c:noMultiLvlLbl val="0"/>
      </c:catAx>
      <c:valAx>
        <c:axId val="1880049583"/>
        <c:scaling>
          <c:orientation val="minMax"/>
        </c:scaling>
        <c:delete val="0"/>
        <c:axPos val="l"/>
        <c:numFmt formatCode="\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80037583"/>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700" b="0" i="0" u="none" strike="noStrike" kern="1200" baseline="0">
                <a:solidFill>
                  <a:schemeClr val="tx1">
                    <a:lumMod val="95000"/>
                    <a:lumOff val="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700" b="0" i="0" u="none" strike="noStrike" kern="1200" baseline="0">
                <a:solidFill>
                  <a:schemeClr val="tx1">
                    <a:lumMod val="95000"/>
                    <a:lumOff val="5000"/>
                  </a:schemeClr>
                </a:solidFill>
                <a:latin typeface="+mn-lt"/>
                <a:ea typeface="+mn-ea"/>
                <a:cs typeface="+mn-cs"/>
              </a:defRPr>
            </a:pPr>
            <a:endParaRPr lang="en-US"/>
          </a:p>
        </c:txPr>
      </c:legendEntry>
      <c:layout>
        <c:manualLayout>
          <c:xMode val="edge"/>
          <c:yMode val="edge"/>
          <c:x val="0.63994837332551535"/>
          <c:y val="3.5907680025954285E-2"/>
          <c:w val="0.32714593576411172"/>
          <c:h val="8.1062528969033487E-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C7D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[IRCTC_DASHBOARD.xlsx]PIVOT_TABLE1!PivotTable2</c:name>
    <c:fmtId val="12"/>
  </c:pivotSource>
  <c:chart>
    <c:title>
      <c:tx>
        <c:rich>
          <a:bodyPr rot="0" spcFirstLastPara="1" vertOverflow="ellipsis" vert="horz" wrap="square" anchor="ctr" anchorCtr="1"/>
          <a:lstStyle/>
          <a:p>
            <a:pPr>
              <a:defRPr sz="1000" b="0" i="0" u="none" strike="noStrike" kern="1200" spc="0" baseline="0">
                <a:solidFill>
                  <a:schemeClr val="tx1"/>
                </a:solidFill>
                <a:latin typeface="+mn-lt"/>
                <a:ea typeface="+mn-ea"/>
                <a:cs typeface="+mn-cs"/>
              </a:defRPr>
            </a:pPr>
            <a:r>
              <a:rPr lang="en-US" sz="1000">
                <a:solidFill>
                  <a:schemeClr val="tx1"/>
                </a:solidFill>
              </a:rPr>
              <a:t>OPM%</a:t>
            </a:r>
            <a:r>
              <a:rPr lang="en-US" sz="1000" baseline="0">
                <a:solidFill>
                  <a:schemeClr val="tx1"/>
                </a:solidFill>
              </a:rPr>
              <a:t> By Year</a:t>
            </a:r>
            <a:endParaRPr lang="en-US" sz="1000">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rgbClr val="0070C0"/>
            </a:solidFill>
            <a:round/>
          </a:ln>
          <a:effectLst/>
        </c:spPr>
        <c:marker>
          <c:symbol val="circle"/>
          <c:size val="5"/>
          <c:spPr>
            <a:solidFill>
              <a:schemeClr val="bg2">
                <a:lumMod val="10000"/>
              </a:schemeClr>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70C0"/>
            </a:solidFill>
            <a:round/>
          </a:ln>
          <a:effectLst/>
        </c:spPr>
        <c:marker>
          <c:symbol val="circle"/>
          <c:size val="5"/>
          <c:spPr>
            <a:solidFill>
              <a:schemeClr val="bg2">
                <a:lumMod val="10000"/>
              </a:schemeClr>
            </a:solidFill>
            <a:ln w="9525">
              <a:solidFill>
                <a:schemeClr val="accent1"/>
              </a:solidFill>
            </a:ln>
            <a:effectLst/>
          </c:spPr>
        </c:marker>
        <c:dLbl>
          <c:idx val="0"/>
          <c:layout>
            <c:manualLayout>
              <c:x val="-4.693774795870085E-2"/>
              <c:y val="-8.1686575953637292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70C0"/>
            </a:solidFill>
            <a:round/>
          </a:ln>
          <a:effectLst/>
        </c:spPr>
        <c:marker>
          <c:symbol val="circle"/>
          <c:size val="5"/>
          <c:spPr>
            <a:solidFill>
              <a:schemeClr val="bg2">
                <a:lumMod val="10000"/>
              </a:schemeClr>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70C0"/>
            </a:solidFill>
            <a:round/>
          </a:ln>
          <a:effectLst/>
        </c:spPr>
        <c:marker>
          <c:symbol val="circle"/>
          <c:size val="5"/>
          <c:spPr>
            <a:solidFill>
              <a:schemeClr val="bg2">
                <a:lumMod val="10000"/>
              </a:schemeClr>
            </a:solidFill>
            <a:ln w="9525">
              <a:solidFill>
                <a:schemeClr val="accent1"/>
              </a:solidFill>
            </a:ln>
            <a:effectLst/>
          </c:spPr>
        </c:marker>
        <c:dLbl>
          <c:idx val="0"/>
          <c:layout>
            <c:manualLayout>
              <c:x val="-4.693774795870085E-2"/>
              <c:y val="-8.1686575953637292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000075"/>
            </a:solidFill>
            <a:round/>
          </a:ln>
          <a:effectLst/>
        </c:spPr>
        <c:marker>
          <c:symbol val="circle"/>
          <c:size val="5"/>
          <c:spPr>
            <a:solidFill>
              <a:schemeClr val="bg2">
                <a:lumMod val="10000"/>
              </a:schemeClr>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000075"/>
            </a:solidFill>
            <a:round/>
          </a:ln>
          <a:effectLst/>
        </c:spPr>
        <c:marker>
          <c:symbol val="circle"/>
          <c:size val="5"/>
          <c:spPr>
            <a:solidFill>
              <a:schemeClr val="bg2">
                <a:lumMod val="10000"/>
              </a:schemeClr>
            </a:solidFill>
            <a:ln w="9525">
              <a:solidFill>
                <a:schemeClr val="accent1"/>
              </a:solidFill>
            </a:ln>
            <a:effectLst/>
          </c:spPr>
        </c:marker>
        <c:dLbl>
          <c:idx val="0"/>
          <c:layout>
            <c:manualLayout>
              <c:x val="-6.1636805555555667E-2"/>
              <c:y val="-9.8371697258835461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000075"/>
            </a:solidFill>
            <a:round/>
          </a:ln>
          <a:effectLst/>
        </c:spPr>
        <c:marker>
          <c:symbol val="circle"/>
          <c:size val="5"/>
          <c:spPr>
            <a:solidFill>
              <a:schemeClr val="bg2">
                <a:lumMod val="10000"/>
              </a:schemeClr>
            </a:solidFill>
            <a:ln w="9525">
              <a:solidFill>
                <a:schemeClr val="accent1"/>
              </a:solidFill>
            </a:ln>
            <a:effectLst/>
          </c:spPr>
        </c:marker>
      </c:pivotFmt>
    </c:pivotFmts>
    <c:plotArea>
      <c:layout/>
      <c:lineChart>
        <c:grouping val="standard"/>
        <c:varyColors val="0"/>
        <c:ser>
          <c:idx val="0"/>
          <c:order val="0"/>
          <c:tx>
            <c:strRef>
              <c:f>PIVOT_TABLE1!$B$21</c:f>
              <c:strCache>
                <c:ptCount val="1"/>
                <c:pt idx="0">
                  <c:v>Total</c:v>
                </c:pt>
              </c:strCache>
            </c:strRef>
          </c:tx>
          <c:spPr>
            <a:ln w="28575" cap="rnd">
              <a:solidFill>
                <a:srgbClr val="000075"/>
              </a:solidFill>
              <a:round/>
            </a:ln>
            <a:effectLst/>
          </c:spPr>
          <c:marker>
            <c:symbol val="circle"/>
            <c:size val="5"/>
            <c:spPr>
              <a:solidFill>
                <a:schemeClr val="bg2">
                  <a:lumMod val="10000"/>
                </a:schemeClr>
              </a:solidFill>
              <a:ln w="9525">
                <a:solidFill>
                  <a:schemeClr val="accent1"/>
                </a:solidFill>
              </a:ln>
              <a:effectLst/>
            </c:spPr>
          </c:marker>
          <c:dPt>
            <c:idx val="6"/>
            <c:marker>
              <c:symbol val="circle"/>
              <c:size val="5"/>
              <c:spPr>
                <a:solidFill>
                  <a:schemeClr val="bg2">
                    <a:lumMod val="10000"/>
                  </a:schemeClr>
                </a:solidFill>
                <a:ln w="9525">
                  <a:solidFill>
                    <a:schemeClr val="accent1"/>
                  </a:solidFill>
                </a:ln>
                <a:effectLst/>
              </c:spPr>
            </c:marker>
            <c:bubble3D val="0"/>
            <c:spPr>
              <a:ln w="28575" cap="rnd">
                <a:solidFill>
                  <a:srgbClr val="000075"/>
                </a:solidFill>
                <a:round/>
              </a:ln>
              <a:effectLst/>
            </c:spPr>
            <c:extLst>
              <c:ext xmlns:c16="http://schemas.microsoft.com/office/drawing/2014/chart" uri="{C3380CC4-5D6E-409C-BE32-E72D297353CC}">
                <c16:uniqueId val="{00000000-CD9B-4CB4-935B-565F79E3678E}"/>
              </c:ext>
            </c:extLst>
          </c:dPt>
          <c:dLbls>
            <c:dLbl>
              <c:idx val="6"/>
              <c:layout>
                <c:manualLayout>
                  <c:x val="-6.1636805555555667E-2"/>
                  <c:y val="-9.83716972588354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D9B-4CB4-935B-565F79E3678E}"/>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PIVOT_TABLE1!$A$22:$A$33</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PIVOT_TABLE1!$B$22:$B$33</c:f>
              <c:numCache>
                <c:formatCode>0.0%</c:formatCode>
                <c:ptCount val="11"/>
                <c:pt idx="0">
                  <c:v>0.14000000000000001</c:v>
                </c:pt>
                <c:pt idx="1">
                  <c:v>0.14000000000000001</c:v>
                </c:pt>
                <c:pt idx="2">
                  <c:v>0.21</c:v>
                </c:pt>
                <c:pt idx="3">
                  <c:v>0.19</c:v>
                </c:pt>
                <c:pt idx="4">
                  <c:v>0.2</c:v>
                </c:pt>
                <c:pt idx="5">
                  <c:v>0.31</c:v>
                </c:pt>
                <c:pt idx="6">
                  <c:v>0.24</c:v>
                </c:pt>
                <c:pt idx="7">
                  <c:v>0.47</c:v>
                </c:pt>
                <c:pt idx="8">
                  <c:v>0.36</c:v>
                </c:pt>
                <c:pt idx="9">
                  <c:v>0.34</c:v>
                </c:pt>
                <c:pt idx="10">
                  <c:v>0.33</c:v>
                </c:pt>
              </c:numCache>
            </c:numRef>
          </c:val>
          <c:smooth val="0"/>
          <c:extLst>
            <c:ext xmlns:c16="http://schemas.microsoft.com/office/drawing/2014/chart" uri="{C3380CC4-5D6E-409C-BE32-E72D297353CC}">
              <c16:uniqueId val="{00000001-CD9B-4CB4-935B-565F79E3678E}"/>
            </c:ext>
          </c:extLst>
        </c:ser>
        <c:dLbls>
          <c:dLblPos val="t"/>
          <c:showLegendKey val="0"/>
          <c:showVal val="1"/>
          <c:showCatName val="0"/>
          <c:showSerName val="0"/>
          <c:showPercent val="0"/>
          <c:showBubbleSize val="0"/>
        </c:dLbls>
        <c:marker val="1"/>
        <c:smooth val="0"/>
        <c:axId val="1879197359"/>
        <c:axId val="1879194479"/>
      </c:lineChart>
      <c:catAx>
        <c:axId val="1879197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79194479"/>
        <c:crosses val="autoZero"/>
        <c:auto val="1"/>
        <c:lblAlgn val="ctr"/>
        <c:lblOffset val="100"/>
        <c:noMultiLvlLbl val="0"/>
      </c:catAx>
      <c:valAx>
        <c:axId val="1879194479"/>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79197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C7D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[IRCTC_DASHBOARD.xlsx]PIVOT_TABLE1!PivotTable3</c:name>
    <c:fmtId val="19"/>
  </c:pivotSource>
  <c:chart>
    <c:title>
      <c:tx>
        <c:rich>
          <a:bodyPr rot="0" spcFirstLastPara="1" vertOverflow="ellipsis" vert="horz" wrap="square" anchor="ctr" anchorCtr="1"/>
          <a:lstStyle/>
          <a:p>
            <a:pPr>
              <a:defRPr sz="1000" b="0" i="0" u="none" strike="noStrike" kern="1200" spc="0" baseline="0">
                <a:solidFill>
                  <a:schemeClr val="tx1"/>
                </a:solidFill>
                <a:latin typeface="+mn-lt"/>
                <a:ea typeface="+mn-ea"/>
                <a:cs typeface="+mn-cs"/>
              </a:defRPr>
            </a:pPr>
            <a:r>
              <a:rPr lang="en-US" sz="1000">
                <a:solidFill>
                  <a:schemeClr val="tx1"/>
                </a:solidFill>
              </a:rPr>
              <a:t>Net</a:t>
            </a:r>
            <a:r>
              <a:rPr lang="en-US" sz="1000" baseline="0">
                <a:solidFill>
                  <a:schemeClr val="tx1"/>
                </a:solidFill>
              </a:rPr>
              <a:t> Profit By Year</a:t>
            </a:r>
            <a:endParaRPr lang="en-US" sz="1000">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quot;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quot;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0075"/>
          </a:solidFill>
          <a:ln>
            <a:noFill/>
          </a:ln>
          <a:effectLst/>
        </c:spPr>
        <c:marker>
          <c:symbol val="none"/>
        </c:marker>
        <c:dLbl>
          <c:idx val="0"/>
          <c:numFmt formatCode="0\ &quot;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PIVOT_TABLE1!$B$38</c:f>
              <c:strCache>
                <c:ptCount val="1"/>
                <c:pt idx="0">
                  <c:v>Total</c:v>
                </c:pt>
              </c:strCache>
            </c:strRef>
          </c:tx>
          <c:spPr>
            <a:solidFill>
              <a:srgbClr val="000075"/>
            </a:solidFill>
            <a:ln>
              <a:noFill/>
            </a:ln>
            <a:effectLst/>
          </c:spPr>
          <c:invertIfNegative val="0"/>
          <c:dLbls>
            <c:numFmt formatCode="0\ &quot;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PIVOT_TABLE1!$A$39:$A$50</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PIVOT_TABLE1!$B$39:$B$50</c:f>
              <c:numCache>
                <c:formatCode>#,##0.0</c:formatCode>
                <c:ptCount val="11"/>
                <c:pt idx="0">
                  <c:v>131</c:v>
                </c:pt>
                <c:pt idx="1">
                  <c:v>189</c:v>
                </c:pt>
                <c:pt idx="2">
                  <c:v>229</c:v>
                </c:pt>
                <c:pt idx="3">
                  <c:v>221</c:v>
                </c:pt>
                <c:pt idx="4">
                  <c:v>309</c:v>
                </c:pt>
                <c:pt idx="5">
                  <c:v>513</c:v>
                </c:pt>
                <c:pt idx="6">
                  <c:v>187</c:v>
                </c:pt>
                <c:pt idx="7">
                  <c:v>660</c:v>
                </c:pt>
                <c:pt idx="8">
                  <c:v>1006</c:v>
                </c:pt>
                <c:pt idx="9">
                  <c:v>1111</c:v>
                </c:pt>
                <c:pt idx="10">
                  <c:v>1315</c:v>
                </c:pt>
              </c:numCache>
            </c:numRef>
          </c:val>
          <c:extLst>
            <c:ext xmlns:c16="http://schemas.microsoft.com/office/drawing/2014/chart" uri="{C3380CC4-5D6E-409C-BE32-E72D297353CC}">
              <c16:uniqueId val="{00000000-97EA-4EB3-B41F-A2703F0A6283}"/>
            </c:ext>
          </c:extLst>
        </c:ser>
        <c:dLbls>
          <c:dLblPos val="outEnd"/>
          <c:showLegendKey val="0"/>
          <c:showVal val="1"/>
          <c:showCatName val="0"/>
          <c:showSerName val="0"/>
          <c:showPercent val="0"/>
          <c:showBubbleSize val="0"/>
        </c:dLbls>
        <c:gapWidth val="219"/>
        <c:overlap val="-27"/>
        <c:axId val="1880048623"/>
        <c:axId val="1880044303"/>
      </c:barChart>
      <c:catAx>
        <c:axId val="1880048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80044303"/>
        <c:crosses val="autoZero"/>
        <c:auto val="1"/>
        <c:lblAlgn val="ctr"/>
        <c:lblOffset val="100"/>
        <c:noMultiLvlLbl val="0"/>
      </c:catAx>
      <c:valAx>
        <c:axId val="1880044303"/>
        <c:scaling>
          <c:orientation val="minMax"/>
        </c:scaling>
        <c:delete val="1"/>
        <c:axPos val="l"/>
        <c:numFmt formatCode="#,##0.0" sourceLinked="1"/>
        <c:majorTickMark val="none"/>
        <c:minorTickMark val="none"/>
        <c:tickLblPos val="nextTo"/>
        <c:crossAx val="1880048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C7D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[IRCTC_DASHBOARD.xlsx]PIVOT_TABLE1!PivotTable4</c:name>
    <c:fmtId val="20"/>
  </c:pivotSource>
  <c:chart>
    <c:title>
      <c:tx>
        <c:rich>
          <a:bodyPr rot="0" spcFirstLastPara="1" vertOverflow="ellipsis" vert="horz" wrap="square" anchor="ctr" anchorCtr="1"/>
          <a:lstStyle/>
          <a:p>
            <a:pPr>
              <a:defRPr sz="1800" b="0" i="0" u="none" strike="noStrike" kern="1200" baseline="0">
                <a:solidFill>
                  <a:sysClr val="windowText" lastClr="000000"/>
                </a:solidFill>
                <a:latin typeface="+mj-lt"/>
                <a:ea typeface="+mj-ea"/>
                <a:cs typeface="+mj-cs"/>
              </a:defRPr>
            </a:pPr>
            <a:r>
              <a:rPr lang="en-US" sz="1050" b="0">
                <a:solidFill>
                  <a:sysClr val="windowText" lastClr="000000"/>
                </a:solidFill>
              </a:rPr>
              <a:t>Tax%</a:t>
            </a:r>
            <a:r>
              <a:rPr lang="en-US" sz="1050" b="0" baseline="0">
                <a:solidFill>
                  <a:sysClr val="windowText" lastClr="000000"/>
                </a:solidFill>
              </a:rPr>
              <a:t> By Year</a:t>
            </a:r>
            <a:endParaRPr lang="en-US" sz="1050" b="0">
              <a:solidFill>
                <a:sysClr val="windowText" lastClr="000000"/>
              </a:solidFill>
            </a:endParaRPr>
          </a:p>
        </c:rich>
      </c:tx>
      <c:layout>
        <c:manualLayout>
          <c:xMode val="edge"/>
          <c:yMode val="edge"/>
          <c:x val="0.48772632461048593"/>
          <c:y val="3.1986527039739275E-2"/>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1.4265335235378032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1.4265335235378032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0075"/>
          </a:solidFill>
          <a:ln>
            <a:noFill/>
          </a:ln>
          <a:effectLst>
            <a:innerShdw dist="12700" dir="16200000">
              <a:schemeClr val="lt1">
                <a:alpha val="75000"/>
              </a:schemeClr>
            </a:inn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C7D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0075"/>
          </a:solidFill>
          <a:ln>
            <a:noFill/>
          </a:ln>
          <a:effectLst>
            <a:innerShdw dist="12700" dir="16200000">
              <a:schemeClr val="lt1">
                <a:alpha val="75000"/>
              </a:schemeClr>
            </a:innerShdw>
          </a:effectLst>
        </c:spPr>
        <c:dLbl>
          <c:idx val="0"/>
          <c:layout>
            <c:manualLayout>
              <c:x val="2.3111550922776367E-2"/>
              <c:y val="-8.806951702089772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C7D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0075"/>
          </a:solidFill>
          <a:ln>
            <a:noFill/>
          </a:ln>
          <a:effectLst>
            <a:innerShdw dist="12700" dir="16200000">
              <a:schemeClr val="lt1">
                <a:alpha val="75000"/>
              </a:schemeClr>
            </a:innerShdw>
          </a:effectLst>
        </c:spPr>
        <c:dLbl>
          <c:idx val="0"/>
          <c:layout>
            <c:manualLayout>
              <c:x val="-1.7692564525618803E-2"/>
              <c:y val="6.0681878401681891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C7D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PIVOT_TABLE1!$B$55</c:f>
              <c:strCache>
                <c:ptCount val="1"/>
                <c:pt idx="0">
                  <c:v>Total</c:v>
                </c:pt>
              </c:strCache>
            </c:strRef>
          </c:tx>
          <c:spPr>
            <a:solidFill>
              <a:srgbClr val="000075"/>
            </a:solidFill>
            <a:ln>
              <a:no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549A-4FB0-A5DA-898657A4CC9F}"/>
              </c:ext>
            </c:extLst>
          </c:dPt>
          <c:dPt>
            <c:idx val="10"/>
            <c:bubble3D val="0"/>
            <c:extLst>
              <c:ext xmlns:c16="http://schemas.microsoft.com/office/drawing/2014/chart" uri="{C3380CC4-5D6E-409C-BE32-E72D297353CC}">
                <c16:uniqueId val="{00000001-4ADD-48E9-855F-3BDB904D311C}"/>
              </c:ext>
            </c:extLst>
          </c:dPt>
          <c:dLbls>
            <c:dLbl>
              <c:idx val="0"/>
              <c:layout>
                <c:manualLayout>
                  <c:x val="2.3111550922776367E-2"/>
                  <c:y val="-8.80695170208977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9A-4FB0-A5DA-898657A4CC9F}"/>
                </c:ext>
              </c:extLst>
            </c:dLbl>
            <c:dLbl>
              <c:idx val="10"/>
              <c:layout>
                <c:manualLayout>
                  <c:x val="-1.7692564525618803E-2"/>
                  <c:y val="6.06818784016818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ADD-48E9-855F-3BDB904D311C}"/>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C7D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PIVOT_TABLE1!$A$56:$A$67</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PIVOT_TABLE1!$B$56:$B$67</c:f>
              <c:numCache>
                <c:formatCode>0.0%</c:formatCode>
                <c:ptCount val="11"/>
                <c:pt idx="0">
                  <c:v>0.39</c:v>
                </c:pt>
                <c:pt idx="1">
                  <c:v>0.39</c:v>
                </c:pt>
                <c:pt idx="2">
                  <c:v>0.35</c:v>
                </c:pt>
                <c:pt idx="3">
                  <c:v>0.36</c:v>
                </c:pt>
                <c:pt idx="4">
                  <c:v>0.36</c:v>
                </c:pt>
                <c:pt idx="5">
                  <c:v>0.3</c:v>
                </c:pt>
                <c:pt idx="6">
                  <c:v>0.27</c:v>
                </c:pt>
                <c:pt idx="7">
                  <c:v>0.26</c:v>
                </c:pt>
                <c:pt idx="8">
                  <c:v>0.26</c:v>
                </c:pt>
                <c:pt idx="9">
                  <c:v>0.26</c:v>
                </c:pt>
                <c:pt idx="10">
                  <c:v>0.25</c:v>
                </c:pt>
              </c:numCache>
            </c:numRef>
          </c:val>
          <c:extLst>
            <c:ext xmlns:c16="http://schemas.microsoft.com/office/drawing/2014/chart" uri="{C3380CC4-5D6E-409C-BE32-E72D297353CC}">
              <c16:uniqueId val="{00000001-549A-4FB0-A5DA-898657A4CC9F}"/>
            </c:ext>
          </c:extLst>
        </c:ser>
        <c:dLbls>
          <c:showLegendKey val="0"/>
          <c:showVal val="1"/>
          <c:showCatName val="0"/>
          <c:showSerName val="0"/>
          <c:showPercent val="0"/>
          <c:showBubbleSize val="0"/>
        </c:dLbls>
        <c:dropLines>
          <c:spPr>
            <a:ln w="9525" cap="flat" cmpd="sng" algn="ctr">
              <a:noFill/>
              <a:round/>
            </a:ln>
            <a:effectLst/>
          </c:spPr>
        </c:dropLines>
        <c:axId val="2006862559"/>
        <c:axId val="2006857279"/>
      </c:areaChart>
      <c:catAx>
        <c:axId val="200686255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2006857279"/>
        <c:crosses val="autoZero"/>
        <c:auto val="1"/>
        <c:lblAlgn val="ctr"/>
        <c:lblOffset val="100"/>
        <c:noMultiLvlLbl val="0"/>
      </c:catAx>
      <c:valAx>
        <c:axId val="2006857279"/>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068625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CCC7D2"/>
    </a:solid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[IRCTC_DASHBOARD.xlsx]PIVOT_TABLE1!PivotTable5</c:name>
    <c:fmtId val="21"/>
  </c:pivotSource>
  <c:chart>
    <c:title>
      <c:tx>
        <c:rich>
          <a:bodyPr rot="0" spcFirstLastPara="1" vertOverflow="ellipsis" vert="horz" wrap="square" anchor="ctr" anchorCtr="1"/>
          <a:lstStyle/>
          <a:p>
            <a:pPr>
              <a:defRPr sz="1000" b="0" i="0" u="none" strike="noStrike" kern="1200" spc="0" baseline="0">
                <a:solidFill>
                  <a:sysClr val="windowText" lastClr="000000"/>
                </a:solidFill>
                <a:latin typeface="+mn-lt"/>
                <a:ea typeface="+mn-ea"/>
                <a:cs typeface="+mn-cs"/>
              </a:defRPr>
            </a:pPr>
            <a:r>
              <a:rPr lang="en-US" sz="1000">
                <a:solidFill>
                  <a:sysClr val="windowText" lastClr="000000"/>
                </a:solidFill>
              </a:rPr>
              <a:t>Other</a:t>
            </a:r>
            <a:r>
              <a:rPr lang="en-US" sz="1000" baseline="0">
                <a:solidFill>
                  <a:sysClr val="windowText" lastClr="000000"/>
                </a:solidFill>
              </a:rPr>
              <a:t> Income By Year</a:t>
            </a:r>
            <a:endParaRPr lang="en-US" sz="1000">
              <a:solidFill>
                <a:sysClr val="windowText" lastClr="000000"/>
              </a:solidFill>
            </a:endParaRPr>
          </a:p>
        </c:rich>
      </c:tx>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quot; 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quot; 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0075"/>
          </a:solidFill>
          <a:ln>
            <a:noFill/>
          </a:ln>
          <a:effectLst/>
        </c:spPr>
        <c:marker>
          <c:symbol val="none"/>
        </c:marker>
        <c:dLbl>
          <c:idx val="0"/>
          <c:numFmt formatCode="0&quot; 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0075"/>
          </a:solidFill>
          <a:ln>
            <a:noFill/>
          </a:ln>
          <a:effectLst/>
        </c:spPr>
        <c:dLbl>
          <c:idx val="0"/>
          <c:layout>
            <c:manualLayout>
              <c:x val="0"/>
              <c:y val="3.0603318469792824E-2"/>
            </c:manualLayout>
          </c:layout>
          <c:numFmt formatCode="0&quot; 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5576322541948"/>
          <c:y val="9.3171803708748252E-2"/>
          <c:w val="0.75941861604219618"/>
          <c:h val="0.88657662576942864"/>
        </c:manualLayout>
      </c:layout>
      <c:barChart>
        <c:barDir val="bar"/>
        <c:grouping val="clustered"/>
        <c:varyColors val="0"/>
        <c:ser>
          <c:idx val="0"/>
          <c:order val="0"/>
          <c:tx>
            <c:strRef>
              <c:f>PIVOT_TABLE1!$B$72</c:f>
              <c:strCache>
                <c:ptCount val="1"/>
                <c:pt idx="0">
                  <c:v>Total</c:v>
                </c:pt>
              </c:strCache>
            </c:strRef>
          </c:tx>
          <c:spPr>
            <a:solidFill>
              <a:srgbClr val="000075"/>
            </a:solidFill>
            <a:ln>
              <a:noFill/>
            </a:ln>
            <a:effectLst/>
          </c:spPr>
          <c:invertIfNegative val="0"/>
          <c:dPt>
            <c:idx val="10"/>
            <c:invertIfNegative val="0"/>
            <c:bubble3D val="0"/>
            <c:spPr>
              <a:solidFill>
                <a:srgbClr val="000075"/>
              </a:solidFill>
              <a:ln>
                <a:noFill/>
              </a:ln>
              <a:effectLst/>
            </c:spPr>
            <c:extLst>
              <c:ext xmlns:c16="http://schemas.microsoft.com/office/drawing/2014/chart" uri="{C3380CC4-5D6E-409C-BE32-E72D297353CC}">
                <c16:uniqueId val="{00000000-80E3-4AF1-A997-A53236E736D6}"/>
              </c:ext>
            </c:extLst>
          </c:dPt>
          <c:dLbls>
            <c:dLbl>
              <c:idx val="10"/>
              <c:layout>
                <c:manualLayout>
                  <c:x val="0"/>
                  <c:y val="3.060331846979282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0E3-4AF1-A997-A53236E736D6}"/>
                </c:ext>
              </c:extLst>
            </c:dLbl>
            <c:numFmt formatCode="0&quot; 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PIVOT_TABLE1!$A$73:$A$84</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PIVOT_TABLE1!$B$73:$B$84</c:f>
              <c:numCache>
                <c:formatCode>#,##0</c:formatCode>
                <c:ptCount val="11"/>
                <c:pt idx="0">
                  <c:v>82</c:v>
                </c:pt>
                <c:pt idx="1">
                  <c:v>139</c:v>
                </c:pt>
                <c:pt idx="2">
                  <c:v>67</c:v>
                </c:pt>
                <c:pt idx="3">
                  <c:v>99</c:v>
                </c:pt>
                <c:pt idx="4">
                  <c:v>126</c:v>
                </c:pt>
                <c:pt idx="5">
                  <c:v>77</c:v>
                </c:pt>
                <c:pt idx="6">
                  <c:v>124</c:v>
                </c:pt>
                <c:pt idx="7">
                  <c:v>72</c:v>
                </c:pt>
                <c:pt idx="8">
                  <c:v>148</c:v>
                </c:pt>
                <c:pt idx="9">
                  <c:v>106</c:v>
                </c:pt>
                <c:pt idx="10">
                  <c:v>276</c:v>
                </c:pt>
              </c:numCache>
            </c:numRef>
          </c:val>
          <c:extLst>
            <c:ext xmlns:c16="http://schemas.microsoft.com/office/drawing/2014/chart" uri="{C3380CC4-5D6E-409C-BE32-E72D297353CC}">
              <c16:uniqueId val="{00000000-EAEA-4E3B-9CBA-1B4221ABD2A3}"/>
            </c:ext>
          </c:extLst>
        </c:ser>
        <c:dLbls>
          <c:dLblPos val="outEnd"/>
          <c:showLegendKey val="0"/>
          <c:showVal val="1"/>
          <c:showCatName val="0"/>
          <c:showSerName val="0"/>
          <c:showPercent val="0"/>
          <c:showBubbleSize val="0"/>
        </c:dLbls>
        <c:gapWidth val="96"/>
        <c:axId val="2006852479"/>
        <c:axId val="2006863999"/>
      </c:barChart>
      <c:catAx>
        <c:axId val="2006852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06863999"/>
        <c:crosses val="autoZero"/>
        <c:auto val="1"/>
        <c:lblAlgn val="ctr"/>
        <c:lblOffset val="100"/>
        <c:noMultiLvlLbl val="0"/>
      </c:catAx>
      <c:valAx>
        <c:axId val="2006863999"/>
        <c:scaling>
          <c:orientation val="minMax"/>
        </c:scaling>
        <c:delete val="1"/>
        <c:axPos val="b"/>
        <c:numFmt formatCode="#,##0" sourceLinked="1"/>
        <c:majorTickMark val="none"/>
        <c:minorTickMark val="none"/>
        <c:tickLblPos val="nextTo"/>
        <c:crossAx val="200685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C7D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[IRCTC_DASHBOARD.xlsx]PIVOT_TABLE1!PivotTable8</c:name>
    <c:fmtId val="47"/>
  </c:pivotSource>
  <c:chart>
    <c:title>
      <c:tx>
        <c:rich>
          <a:bodyPr rot="0" spcFirstLastPara="1" vertOverflow="ellipsis" vert="horz" wrap="square" anchor="ctr" anchorCtr="1"/>
          <a:lstStyle/>
          <a:p>
            <a:pPr>
              <a:defRPr sz="1000" b="0" i="0" u="none" strike="noStrike" kern="1200" spc="0" baseline="0">
                <a:solidFill>
                  <a:sysClr val="windowText" lastClr="000000"/>
                </a:solidFill>
                <a:latin typeface="+mn-lt"/>
                <a:ea typeface="+mn-ea"/>
                <a:cs typeface="+mn-cs"/>
              </a:defRPr>
            </a:pPr>
            <a:r>
              <a:rPr lang="en-IN" sz="1000" b="0" i="0" u="none" strike="noStrike" baseline="0">
                <a:solidFill>
                  <a:sysClr val="windowText" lastClr="000000"/>
                </a:solidFill>
              </a:rPr>
              <a:t>EPS vs Dividend Payout Trend</a:t>
            </a:r>
            <a:endParaRPr lang="en-IN" sz="1000">
              <a:solidFill>
                <a:sysClr val="windowText" lastClr="000000"/>
              </a:solidFill>
            </a:endParaRPr>
          </a:p>
        </c:rich>
      </c:tx>
      <c:layout>
        <c:manualLayout>
          <c:xMode val="edge"/>
          <c:yMode val="edge"/>
          <c:x val="0.26577707278180868"/>
          <c:y val="2.7071572120799751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00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0007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70056144192834E-2"/>
          <c:y val="0.15519855186273732"/>
          <c:w val="0.79504657987658045"/>
          <c:h val="0.71919873262410072"/>
        </c:manualLayout>
      </c:layout>
      <c:barChart>
        <c:barDir val="col"/>
        <c:grouping val="clustered"/>
        <c:varyColors val="0"/>
        <c:ser>
          <c:idx val="1"/>
          <c:order val="1"/>
          <c:tx>
            <c:strRef>
              <c:f>PIVOT_TABLE1!$C$120</c:f>
              <c:strCache>
                <c:ptCount val="1"/>
                <c:pt idx="0">
                  <c:v>EPS </c:v>
                </c:pt>
              </c:strCache>
            </c:strRef>
          </c:tx>
          <c:spPr>
            <a:solidFill>
              <a:srgbClr val="000075"/>
            </a:solidFill>
            <a:ln>
              <a:noFill/>
            </a:ln>
            <a:effectLst/>
          </c:spPr>
          <c:invertIfNegative val="0"/>
          <c:dPt>
            <c:idx val="1"/>
            <c:invertIfNegative val="0"/>
            <c:bubble3D val="0"/>
            <c:spPr>
              <a:solidFill>
                <a:srgbClr val="000075"/>
              </a:solidFill>
              <a:ln>
                <a:noFill/>
              </a:ln>
              <a:effectLst/>
            </c:spPr>
            <c:extLst>
              <c:ext xmlns:c16="http://schemas.microsoft.com/office/drawing/2014/chart" uri="{C3380CC4-5D6E-409C-BE32-E72D297353CC}">
                <c16:uniqueId val="{00000001-15A7-4873-873F-1F0E9BBD6132}"/>
              </c:ext>
            </c:extLst>
          </c:dPt>
          <c:dLbls>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5A7-4873-873F-1F0E9BBD613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PIVOT_TABLE1!$A$121:$A$132</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PIVOT_TABLE1!$C$121:$C$132</c:f>
              <c:numCache>
                <c:formatCode>General</c:formatCode>
                <c:ptCount val="11"/>
                <c:pt idx="0">
                  <c:v>13.06</c:v>
                </c:pt>
                <c:pt idx="1">
                  <c:v>18.86</c:v>
                </c:pt>
                <c:pt idx="2">
                  <c:v>11.45</c:v>
                </c:pt>
                <c:pt idx="3">
                  <c:v>11.03</c:v>
                </c:pt>
                <c:pt idx="4">
                  <c:v>3.86</c:v>
                </c:pt>
                <c:pt idx="5">
                  <c:v>6.41</c:v>
                </c:pt>
                <c:pt idx="6">
                  <c:v>2.34</c:v>
                </c:pt>
                <c:pt idx="7">
                  <c:v>8.24</c:v>
                </c:pt>
                <c:pt idx="8">
                  <c:v>12.57</c:v>
                </c:pt>
                <c:pt idx="9">
                  <c:v>13.89</c:v>
                </c:pt>
                <c:pt idx="10">
                  <c:v>16.43</c:v>
                </c:pt>
              </c:numCache>
            </c:numRef>
          </c:val>
          <c:extLst>
            <c:ext xmlns:c16="http://schemas.microsoft.com/office/drawing/2014/chart" uri="{C3380CC4-5D6E-409C-BE32-E72D297353CC}">
              <c16:uniqueId val="{00000002-15A7-4873-873F-1F0E9BBD6132}"/>
            </c:ext>
          </c:extLst>
        </c:ser>
        <c:dLbls>
          <c:showLegendKey val="0"/>
          <c:showVal val="0"/>
          <c:showCatName val="0"/>
          <c:showSerName val="0"/>
          <c:showPercent val="0"/>
          <c:showBubbleSize val="0"/>
        </c:dLbls>
        <c:gapWidth val="219"/>
        <c:axId val="2042861295"/>
        <c:axId val="2042861775"/>
      </c:barChart>
      <c:lineChart>
        <c:grouping val="standard"/>
        <c:varyColors val="0"/>
        <c:ser>
          <c:idx val="0"/>
          <c:order val="0"/>
          <c:tx>
            <c:strRef>
              <c:f>PIVOT_TABLE1!$B$120</c:f>
              <c:strCache>
                <c:ptCount val="1"/>
                <c:pt idx="0">
                  <c:v> Dividend %</c:v>
                </c:pt>
              </c:strCache>
            </c:strRef>
          </c:tx>
          <c:spPr>
            <a:ln w="28575" cap="rnd">
              <a:solidFill>
                <a:schemeClr val="accent1"/>
              </a:solidFill>
              <a:round/>
            </a:ln>
            <a:effectLst/>
          </c:spPr>
          <c:marker>
            <c:symbol val="none"/>
          </c:marker>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4-15A7-4873-873F-1F0E9BBD6132}"/>
              </c:ext>
            </c:extLst>
          </c:dPt>
          <c:dLbls>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5A7-4873-873F-1F0E9BBD613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PIVOT_TABLE1!$A$121:$A$132</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PIVOT_TABLE1!$B$121:$B$132</c:f>
              <c:numCache>
                <c:formatCode>0.0%</c:formatCode>
                <c:ptCount val="11"/>
                <c:pt idx="0">
                  <c:v>0.2</c:v>
                </c:pt>
                <c:pt idx="1">
                  <c:v>0.4</c:v>
                </c:pt>
                <c:pt idx="2">
                  <c:v>0.49</c:v>
                </c:pt>
                <c:pt idx="3">
                  <c:v>0.21</c:v>
                </c:pt>
                <c:pt idx="4">
                  <c:v>0.98</c:v>
                </c:pt>
                <c:pt idx="5">
                  <c:v>0.39</c:v>
                </c:pt>
                <c:pt idx="6">
                  <c:v>0.43</c:v>
                </c:pt>
                <c:pt idx="7">
                  <c:v>0.42</c:v>
                </c:pt>
                <c:pt idx="8">
                  <c:v>0.44</c:v>
                </c:pt>
                <c:pt idx="9">
                  <c:v>0.47</c:v>
                </c:pt>
                <c:pt idx="10">
                  <c:v>0.49</c:v>
                </c:pt>
              </c:numCache>
            </c:numRef>
          </c:val>
          <c:smooth val="0"/>
          <c:extLst>
            <c:ext xmlns:c16="http://schemas.microsoft.com/office/drawing/2014/chart" uri="{C3380CC4-5D6E-409C-BE32-E72D297353CC}">
              <c16:uniqueId val="{00000005-15A7-4873-873F-1F0E9BBD6132}"/>
            </c:ext>
          </c:extLst>
        </c:ser>
        <c:dLbls>
          <c:showLegendKey val="0"/>
          <c:showVal val="0"/>
          <c:showCatName val="0"/>
          <c:showSerName val="0"/>
          <c:showPercent val="0"/>
          <c:showBubbleSize val="0"/>
        </c:dLbls>
        <c:marker val="1"/>
        <c:smooth val="0"/>
        <c:axId val="758081759"/>
        <c:axId val="758079359"/>
      </c:lineChart>
      <c:catAx>
        <c:axId val="2042861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42861775"/>
        <c:crosses val="autoZero"/>
        <c:auto val="1"/>
        <c:lblAlgn val="ctr"/>
        <c:lblOffset val="100"/>
        <c:noMultiLvlLbl val="0"/>
      </c:catAx>
      <c:valAx>
        <c:axId val="20428617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42861295"/>
        <c:crosses val="autoZero"/>
        <c:crossBetween val="between"/>
      </c:valAx>
      <c:valAx>
        <c:axId val="758079359"/>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58081759"/>
        <c:crosses val="max"/>
        <c:crossBetween val="between"/>
      </c:valAx>
      <c:catAx>
        <c:axId val="758081759"/>
        <c:scaling>
          <c:orientation val="minMax"/>
        </c:scaling>
        <c:delete val="1"/>
        <c:axPos val="b"/>
        <c:numFmt formatCode="General" sourceLinked="1"/>
        <c:majorTickMark val="out"/>
        <c:minorTickMark val="none"/>
        <c:tickLblPos val="nextTo"/>
        <c:crossAx val="758079359"/>
        <c:crosses val="autoZero"/>
        <c:auto val="1"/>
        <c:lblAlgn val="ctr"/>
        <c:lblOffset val="100"/>
        <c:noMultiLvlLbl val="0"/>
      </c:catAx>
      <c:spPr>
        <a:noFill/>
        <a:ln>
          <a:noFill/>
        </a:ln>
        <a:effectLst/>
      </c:spPr>
    </c:plotArea>
    <c:legend>
      <c:legendPos val="t"/>
      <c:layout>
        <c:manualLayout>
          <c:xMode val="edge"/>
          <c:yMode val="edge"/>
          <c:x val="0.64982332701765355"/>
          <c:y val="2.8181719739737744E-2"/>
          <c:w val="0.33225171269390175"/>
          <c:h val="7.7537326454678604E-2"/>
        </c:manualLayout>
      </c:layout>
      <c:overlay val="0"/>
      <c:spPr>
        <a:noFill/>
        <a:ln>
          <a:noFill/>
        </a:ln>
        <a:effectLst/>
      </c:spPr>
      <c:txPr>
        <a:bodyPr rot="0" spcFirstLastPara="1" vertOverflow="ellipsis" vert="horz" wrap="square" anchor="ctr" anchorCtr="1"/>
        <a:lstStyle/>
        <a:p>
          <a:pPr>
            <a:defRPr sz="65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C7D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[IRCTC_DASHBOARD.xlsx]PIVOT_TABLE1!PivotTable7</c:name>
    <c:fmtId val="26"/>
  </c:pivotSource>
  <c:chart>
    <c:title>
      <c:tx>
        <c:rich>
          <a:bodyPr rot="0" spcFirstLastPara="1" vertOverflow="ellipsis" vert="horz" wrap="square" anchor="ctr" anchorCtr="1"/>
          <a:lstStyle/>
          <a:p>
            <a:pPr>
              <a:defRPr sz="1000" b="0" i="0" u="none" strike="noStrike" kern="1200" spc="0" baseline="0">
                <a:solidFill>
                  <a:sysClr val="windowText" lastClr="000000"/>
                </a:solidFill>
                <a:latin typeface="+mn-lt"/>
                <a:ea typeface="+mn-ea"/>
                <a:cs typeface="+mn-cs"/>
              </a:defRPr>
            </a:pPr>
            <a:r>
              <a:rPr lang="en-IN" sz="1000">
                <a:solidFill>
                  <a:sysClr val="windowText" lastClr="000000"/>
                </a:solidFill>
              </a:rPr>
              <a:t>Top</a:t>
            </a:r>
            <a:r>
              <a:rPr lang="en-IN" sz="1000" baseline="0">
                <a:solidFill>
                  <a:sysClr val="windowText" lastClr="000000"/>
                </a:solidFill>
              </a:rPr>
              <a:t> 5 Revenue And Expense</a:t>
            </a:r>
            <a:endParaRPr lang="en-IN" sz="1000">
              <a:solidFill>
                <a:sysClr val="windowText" lastClr="000000"/>
              </a:solidFill>
            </a:endParaRPr>
          </a:p>
        </c:rich>
      </c:tx>
      <c:layout>
        <c:manualLayout>
          <c:xMode val="edge"/>
          <c:yMode val="edge"/>
          <c:x val="0.37869899356105668"/>
          <c:y val="1.6400164001640016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278772378516608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491901108269394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4919011082693947E-2"/>
              <c:y val="-7.516655001045014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8.5251491901108273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1.0656436487638534E-2"/>
              <c:y val="4.10004100040985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1.0656436487638534E-2"/>
              <c:y val="4.10004100040985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dLbl>
          <c:idx val="0"/>
          <c:layout>
            <c:manualLayout>
              <c:x val="8.5251491901108273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dLbl>
          <c:idx val="0"/>
          <c:layout>
            <c:manualLayout>
              <c:x val="1.491901108269394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dLbl>
          <c:idx val="0"/>
          <c:layout>
            <c:manualLayout>
              <c:x val="1.4919011082693947E-2"/>
              <c:y val="-7.516655001045014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dLbl>
          <c:idx val="0"/>
          <c:layout>
            <c:manualLayout>
              <c:x val="1.278772378516608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0075">
              <a:alpha val="88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115F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115F9A"/>
          </a:solidFill>
          <a:ln>
            <a:noFill/>
          </a:ln>
          <a:effectLst/>
        </c:spPr>
        <c:dLbl>
          <c:idx val="0"/>
          <c:layout>
            <c:manualLayout>
              <c:x val="1.0656436487638534E-2"/>
              <c:y val="4.10004100040985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115F9A"/>
          </a:solidFill>
          <a:ln>
            <a:noFill/>
          </a:ln>
          <a:effectLst/>
        </c:spPr>
        <c:dLbl>
          <c:idx val="0"/>
          <c:layout>
            <c:manualLayout>
              <c:x val="8.5251491901108273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115F9A"/>
          </a:solidFill>
          <a:ln>
            <a:noFill/>
          </a:ln>
          <a:effectLst/>
        </c:spPr>
        <c:dLbl>
          <c:idx val="0"/>
          <c:layout>
            <c:manualLayout>
              <c:x val="1.491901108269394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115F9A"/>
          </a:solidFill>
          <a:ln>
            <a:noFill/>
          </a:ln>
          <a:effectLst/>
        </c:spPr>
        <c:dLbl>
          <c:idx val="0"/>
          <c:layout>
            <c:manualLayout>
              <c:x val="1.4919011082693947E-2"/>
              <c:y val="-7.516655001045014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115F9A"/>
          </a:solidFill>
          <a:ln>
            <a:noFill/>
          </a:ln>
          <a:effectLst/>
        </c:spPr>
        <c:dLbl>
          <c:idx val="0"/>
          <c:layout>
            <c:manualLayout>
              <c:x val="1.278772378516608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73877934627958"/>
          <c:y val="0.22929119490329136"/>
          <c:w val="0.86170130496299435"/>
          <c:h val="0.57843492357482262"/>
        </c:manualLayout>
      </c:layout>
      <c:barChart>
        <c:barDir val="col"/>
        <c:grouping val="clustered"/>
        <c:varyColors val="0"/>
        <c:ser>
          <c:idx val="0"/>
          <c:order val="0"/>
          <c:tx>
            <c:strRef>
              <c:f>PIVOT_TABLE1!$B$104</c:f>
              <c:strCache>
                <c:ptCount val="1"/>
                <c:pt idx="0">
                  <c:v>Revenue</c:v>
                </c:pt>
              </c:strCache>
            </c:strRef>
          </c:tx>
          <c:spPr>
            <a:solidFill>
              <a:srgbClr val="000075">
                <a:alpha val="88000"/>
              </a:srgbClr>
            </a:solidFill>
            <a:ln>
              <a:noFill/>
            </a:ln>
            <a:effectLst/>
          </c:spPr>
          <c:invertIfNegative val="0"/>
          <c:cat>
            <c:strRef>
              <c:f>PIVOT_TABLE1!$A$105:$A$110</c:f>
              <c:strCache>
                <c:ptCount val="5"/>
                <c:pt idx="0">
                  <c:v>2020</c:v>
                </c:pt>
                <c:pt idx="1">
                  <c:v>2022</c:v>
                </c:pt>
                <c:pt idx="2">
                  <c:v>2023</c:v>
                </c:pt>
                <c:pt idx="3">
                  <c:v>2024</c:v>
                </c:pt>
                <c:pt idx="4">
                  <c:v>2025</c:v>
                </c:pt>
              </c:strCache>
            </c:strRef>
          </c:cat>
          <c:val>
            <c:numRef>
              <c:f>PIVOT_TABLE1!$B$105:$B$110</c:f>
              <c:numCache>
                <c:formatCode>\ #,##0.0</c:formatCode>
                <c:ptCount val="5"/>
                <c:pt idx="0">
                  <c:v>2264</c:v>
                </c:pt>
                <c:pt idx="1">
                  <c:v>1879</c:v>
                </c:pt>
                <c:pt idx="2">
                  <c:v>3541</c:v>
                </c:pt>
                <c:pt idx="3">
                  <c:v>4260</c:v>
                </c:pt>
                <c:pt idx="4">
                  <c:v>4675</c:v>
                </c:pt>
              </c:numCache>
            </c:numRef>
          </c:val>
          <c:extLst>
            <c:ext xmlns:c16="http://schemas.microsoft.com/office/drawing/2014/chart" uri="{C3380CC4-5D6E-409C-BE32-E72D297353CC}">
              <c16:uniqueId val="{00000000-ED8C-40B1-8D66-CAFFC379CE28}"/>
            </c:ext>
          </c:extLst>
        </c:ser>
        <c:ser>
          <c:idx val="1"/>
          <c:order val="1"/>
          <c:tx>
            <c:strRef>
              <c:f>PIVOT_TABLE1!$C$104</c:f>
              <c:strCache>
                <c:ptCount val="1"/>
                <c:pt idx="0">
                  <c:v>Profit</c:v>
                </c:pt>
              </c:strCache>
            </c:strRef>
          </c:tx>
          <c:spPr>
            <a:solidFill>
              <a:srgbClr val="115F9A"/>
            </a:solidFill>
            <a:ln>
              <a:noFill/>
            </a:ln>
            <a:effectLst/>
          </c:spPr>
          <c:invertIfNegative val="0"/>
          <c:dPt>
            <c:idx val="0"/>
            <c:invertIfNegative val="0"/>
            <c:bubble3D val="0"/>
            <c:spPr>
              <a:solidFill>
                <a:srgbClr val="115F9A"/>
              </a:solidFill>
              <a:ln>
                <a:noFill/>
              </a:ln>
              <a:effectLst/>
            </c:spPr>
            <c:extLst>
              <c:ext xmlns:c16="http://schemas.microsoft.com/office/drawing/2014/chart" uri="{C3380CC4-5D6E-409C-BE32-E72D297353CC}">
                <c16:uniqueId val="{00000001-ED8C-40B1-8D66-CAFFC379CE28}"/>
              </c:ext>
            </c:extLst>
          </c:dPt>
          <c:dPt>
            <c:idx val="1"/>
            <c:invertIfNegative val="0"/>
            <c:bubble3D val="0"/>
            <c:spPr>
              <a:solidFill>
                <a:srgbClr val="115F9A"/>
              </a:solidFill>
              <a:ln>
                <a:noFill/>
              </a:ln>
              <a:effectLst/>
            </c:spPr>
            <c:extLst>
              <c:ext xmlns:c16="http://schemas.microsoft.com/office/drawing/2014/chart" uri="{C3380CC4-5D6E-409C-BE32-E72D297353CC}">
                <c16:uniqueId val="{00000002-ED8C-40B1-8D66-CAFFC379CE28}"/>
              </c:ext>
            </c:extLst>
          </c:dPt>
          <c:dPt>
            <c:idx val="2"/>
            <c:invertIfNegative val="0"/>
            <c:bubble3D val="0"/>
            <c:spPr>
              <a:solidFill>
                <a:srgbClr val="115F9A"/>
              </a:solidFill>
              <a:ln>
                <a:noFill/>
              </a:ln>
              <a:effectLst/>
            </c:spPr>
            <c:extLst>
              <c:ext xmlns:c16="http://schemas.microsoft.com/office/drawing/2014/chart" uri="{C3380CC4-5D6E-409C-BE32-E72D297353CC}">
                <c16:uniqueId val="{00000003-ED8C-40B1-8D66-CAFFC379CE28}"/>
              </c:ext>
            </c:extLst>
          </c:dPt>
          <c:dPt>
            <c:idx val="3"/>
            <c:invertIfNegative val="0"/>
            <c:bubble3D val="0"/>
            <c:spPr>
              <a:solidFill>
                <a:srgbClr val="115F9A"/>
              </a:solidFill>
              <a:ln>
                <a:noFill/>
              </a:ln>
              <a:effectLst/>
            </c:spPr>
            <c:extLst>
              <c:ext xmlns:c16="http://schemas.microsoft.com/office/drawing/2014/chart" uri="{C3380CC4-5D6E-409C-BE32-E72D297353CC}">
                <c16:uniqueId val="{00000004-ED8C-40B1-8D66-CAFFC379CE28}"/>
              </c:ext>
            </c:extLst>
          </c:dPt>
          <c:dPt>
            <c:idx val="4"/>
            <c:invertIfNegative val="0"/>
            <c:bubble3D val="0"/>
            <c:spPr>
              <a:solidFill>
                <a:srgbClr val="115F9A"/>
              </a:solidFill>
              <a:ln>
                <a:noFill/>
              </a:ln>
              <a:effectLst/>
            </c:spPr>
            <c:extLst>
              <c:ext xmlns:c16="http://schemas.microsoft.com/office/drawing/2014/chart" uri="{C3380CC4-5D6E-409C-BE32-E72D297353CC}">
                <c16:uniqueId val="{00000005-ED8C-40B1-8D66-CAFFC379CE28}"/>
              </c:ext>
            </c:extLst>
          </c:dPt>
          <c:dLbls>
            <c:dLbl>
              <c:idx val="0"/>
              <c:layout>
                <c:manualLayout>
                  <c:x val="1.0656436487638534E-2"/>
                  <c:y val="4.10004100040985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D8C-40B1-8D66-CAFFC379CE28}"/>
                </c:ext>
              </c:extLst>
            </c:dLbl>
            <c:dLbl>
              <c:idx val="1"/>
              <c:layout>
                <c:manualLayout>
                  <c:x val="8.5251491901108273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D8C-40B1-8D66-CAFFC379CE28}"/>
                </c:ext>
              </c:extLst>
            </c:dLbl>
            <c:dLbl>
              <c:idx val="2"/>
              <c:layout>
                <c:manualLayout>
                  <c:x val="1.491901108269394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D8C-40B1-8D66-CAFFC379CE28}"/>
                </c:ext>
              </c:extLst>
            </c:dLbl>
            <c:dLbl>
              <c:idx val="3"/>
              <c:layout>
                <c:manualLayout>
                  <c:x val="1.4919011082693947E-2"/>
                  <c:y val="-7.5166550010450141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D8C-40B1-8D66-CAFFC379CE28}"/>
                </c:ext>
              </c:extLst>
            </c:dLbl>
            <c:dLbl>
              <c:idx val="4"/>
              <c:layout>
                <c:manualLayout>
                  <c:x val="1.2787723785166084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D8C-40B1-8D66-CAFFC379CE2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PIVOT_TABLE1!$A$105:$A$110</c:f>
              <c:strCache>
                <c:ptCount val="5"/>
                <c:pt idx="0">
                  <c:v>2020</c:v>
                </c:pt>
                <c:pt idx="1">
                  <c:v>2022</c:v>
                </c:pt>
                <c:pt idx="2">
                  <c:v>2023</c:v>
                </c:pt>
                <c:pt idx="3">
                  <c:v>2024</c:v>
                </c:pt>
                <c:pt idx="4">
                  <c:v>2025</c:v>
                </c:pt>
              </c:strCache>
            </c:strRef>
          </c:cat>
          <c:val>
            <c:numRef>
              <c:f>PIVOT_TABLE1!$C$105:$C$110</c:f>
              <c:numCache>
                <c:formatCode>#,##0.0</c:formatCode>
                <c:ptCount val="5"/>
                <c:pt idx="0">
                  <c:v>513</c:v>
                </c:pt>
                <c:pt idx="1">
                  <c:v>660</c:v>
                </c:pt>
                <c:pt idx="2">
                  <c:v>1006</c:v>
                </c:pt>
                <c:pt idx="3">
                  <c:v>1111</c:v>
                </c:pt>
                <c:pt idx="4">
                  <c:v>1315</c:v>
                </c:pt>
              </c:numCache>
            </c:numRef>
          </c:val>
          <c:extLst>
            <c:ext xmlns:c16="http://schemas.microsoft.com/office/drawing/2014/chart" uri="{C3380CC4-5D6E-409C-BE32-E72D297353CC}">
              <c16:uniqueId val="{00000006-ED8C-40B1-8D66-CAFFC379CE28}"/>
            </c:ext>
          </c:extLst>
        </c:ser>
        <c:dLbls>
          <c:showLegendKey val="0"/>
          <c:showVal val="0"/>
          <c:showCatName val="0"/>
          <c:showSerName val="0"/>
          <c:showPercent val="0"/>
          <c:showBubbleSize val="0"/>
        </c:dLbls>
        <c:gapWidth val="219"/>
        <c:overlap val="-27"/>
        <c:axId val="142813711"/>
        <c:axId val="142814191"/>
      </c:barChart>
      <c:catAx>
        <c:axId val="1428137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2814191"/>
        <c:crosses val="autoZero"/>
        <c:auto val="1"/>
        <c:lblAlgn val="ctr"/>
        <c:lblOffset val="100"/>
        <c:noMultiLvlLbl val="0"/>
      </c:catAx>
      <c:valAx>
        <c:axId val="142814191"/>
        <c:scaling>
          <c:orientation val="minMax"/>
        </c:scaling>
        <c:delete val="0"/>
        <c:axPos val="l"/>
        <c:numFmt formatCode="\ #,##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2813711"/>
        <c:crosses val="autoZero"/>
        <c:crossBetween val="between"/>
      </c:valAx>
      <c:spPr>
        <a:noFill/>
        <a:ln>
          <a:noFill/>
        </a:ln>
        <a:effectLst/>
      </c:spPr>
    </c:plotArea>
    <c:legend>
      <c:legendPos val="t"/>
      <c:layout>
        <c:manualLayout>
          <c:xMode val="edge"/>
          <c:yMode val="edge"/>
          <c:x val="0.74383688771640122"/>
          <c:y val="3.5370836377411584E-2"/>
          <c:w val="0.20592071221154737"/>
          <c:h val="8.0916580154716852E-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C7D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water fall model</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water fall model</a:t>
          </a:r>
        </a:p>
      </cx:txPr>
    </cx:title>
    <cx:plotArea>
      <cx:plotAreaRegion>
        <cx:series layoutId="waterfall" uniqueId="{68B4473C-99D8-45BE-A358-41D64D1EBF88}">
          <cx:dataPt idx="0">
            <cx:spPr>
              <a:solidFill>
                <a:srgbClr val="92D050"/>
              </a:solidFill>
            </cx:spPr>
          </cx:dataPt>
          <cx:dataPt idx="1">
            <cx:spPr>
              <a:solidFill>
                <a:srgbClr val="92D050"/>
              </a:solidFill>
            </cx:spPr>
          </cx:dataPt>
          <cx:dataPt idx="2">
            <cx:spPr>
              <a:solidFill>
                <a:srgbClr val="FF0000"/>
              </a:solidFill>
            </cx:spPr>
          </cx:dataPt>
          <cx:dataPt idx="3">
            <cx:spPr>
              <a:solidFill>
                <a:srgbClr val="FF0000"/>
              </a:solidFill>
            </cx:spPr>
          </cx:dataPt>
          <cx:dataPt idx="5">
            <cx:spPr>
              <a:solidFill>
                <a:srgbClr val="FF0000"/>
              </a:solidFill>
            </cx:spPr>
          </cx:dataPt>
          <cx:dataLabels pos="outEnd">
            <cx:visibility seriesName="0" categoryName="0" value="1"/>
          </cx:dataLabels>
          <cx:dataId val="0"/>
          <cx:layoutPr>
            <cx:subtotals>
              <cx:idx val="4"/>
              <cx:idx val="6"/>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png"/><Relationship Id="rId3" Type="http://schemas.openxmlformats.org/officeDocument/2006/relationships/chart" Target="../charts/chart10.xml"/><Relationship Id="rId7" Type="http://schemas.openxmlformats.org/officeDocument/2006/relationships/chart" Target="../charts/chart14.xml"/><Relationship Id="rId12" Type="http://schemas.openxmlformats.org/officeDocument/2006/relationships/image" Target="../media/image5.sv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4.png"/><Relationship Id="rId5" Type="http://schemas.openxmlformats.org/officeDocument/2006/relationships/chart" Target="../charts/chart12.xml"/><Relationship Id="rId10" Type="http://schemas.openxmlformats.org/officeDocument/2006/relationships/image" Target="../media/image3.svg"/><Relationship Id="rId4" Type="http://schemas.openxmlformats.org/officeDocument/2006/relationships/chart" Target="../charts/chart11.xml"/><Relationship Id="rId9" Type="http://schemas.openxmlformats.org/officeDocument/2006/relationships/image" Target="../media/image2.png"/><Relationship Id="rId14"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twoCellAnchor>
    <xdr:from>
      <xdr:col>3</xdr:col>
      <xdr:colOff>304800</xdr:colOff>
      <xdr:row>1</xdr:row>
      <xdr:rowOff>15240</xdr:rowOff>
    </xdr:from>
    <xdr:to>
      <xdr:col>14</xdr:col>
      <xdr:colOff>487680</xdr:colOff>
      <xdr:row>15</xdr:row>
      <xdr:rowOff>99060</xdr:rowOff>
    </xdr:to>
    <xdr:graphicFrame macro="">
      <xdr:nvGraphicFramePr>
        <xdr:cNvPr id="2" name="Chart 1">
          <a:extLst>
            <a:ext uri="{FF2B5EF4-FFF2-40B4-BE49-F238E27FC236}">
              <a16:creationId xmlns:a16="http://schemas.microsoft.com/office/drawing/2014/main" id="{39B23F89-2AAF-20C4-1B9C-76197F141B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236220</xdr:colOff>
      <xdr:row>16</xdr:row>
      <xdr:rowOff>57150</xdr:rowOff>
    </xdr:from>
    <xdr:to>
      <xdr:col>12</xdr:col>
      <xdr:colOff>304800</xdr:colOff>
      <xdr:row>30</xdr:row>
      <xdr:rowOff>60960</xdr:rowOff>
    </xdr:to>
    <xdr:graphicFrame macro="">
      <xdr:nvGraphicFramePr>
        <xdr:cNvPr id="3" name="Chart 2">
          <a:extLst>
            <a:ext uri="{FF2B5EF4-FFF2-40B4-BE49-F238E27FC236}">
              <a16:creationId xmlns:a16="http://schemas.microsoft.com/office/drawing/2014/main" id="{D52D0BAC-AACE-9DAC-5833-F01373F8D9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175260</xdr:colOff>
      <xdr:row>32</xdr:row>
      <xdr:rowOff>106680</xdr:rowOff>
    </xdr:from>
    <xdr:to>
      <xdr:col>13</xdr:col>
      <xdr:colOff>45720</xdr:colOff>
      <xdr:row>48</xdr:row>
      <xdr:rowOff>121920</xdr:rowOff>
    </xdr:to>
    <xdr:graphicFrame macro="">
      <xdr:nvGraphicFramePr>
        <xdr:cNvPr id="5" name="Chart 4">
          <a:extLst>
            <a:ext uri="{FF2B5EF4-FFF2-40B4-BE49-F238E27FC236}">
              <a16:creationId xmlns:a16="http://schemas.microsoft.com/office/drawing/2014/main" id="{5B478D7E-389C-972F-BDA7-78A8143FDC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548640</xdr:colOff>
      <xdr:row>52</xdr:row>
      <xdr:rowOff>64770</xdr:rowOff>
    </xdr:from>
    <xdr:to>
      <xdr:col>13</xdr:col>
      <xdr:colOff>403860</xdr:colOff>
      <xdr:row>67</xdr:row>
      <xdr:rowOff>64770</xdr:rowOff>
    </xdr:to>
    <xdr:graphicFrame macro="">
      <xdr:nvGraphicFramePr>
        <xdr:cNvPr id="6" name="Chart 5">
          <a:extLst>
            <a:ext uri="{FF2B5EF4-FFF2-40B4-BE49-F238E27FC236}">
              <a16:creationId xmlns:a16="http://schemas.microsoft.com/office/drawing/2014/main" id="{5D6EF543-EF6B-6B87-6268-9F0EC4A4D9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731520</xdr:colOff>
      <xdr:row>70</xdr:row>
      <xdr:rowOff>171450</xdr:rowOff>
    </xdr:from>
    <xdr:to>
      <xdr:col>12</xdr:col>
      <xdr:colOff>426720</xdr:colOff>
      <xdr:row>87</xdr:row>
      <xdr:rowOff>137160</xdr:rowOff>
    </xdr:to>
    <xdr:graphicFrame macro="">
      <xdr:nvGraphicFramePr>
        <xdr:cNvPr id="7" name="Chart 6">
          <a:extLst>
            <a:ext uri="{FF2B5EF4-FFF2-40B4-BE49-F238E27FC236}">
              <a16:creationId xmlns:a16="http://schemas.microsoft.com/office/drawing/2014/main" id="{D0C11FFE-BBC9-3553-3FA4-1002E38D71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182880</xdr:colOff>
      <xdr:row>100</xdr:row>
      <xdr:rowOff>72390</xdr:rowOff>
    </xdr:from>
    <xdr:to>
      <xdr:col>14</xdr:col>
      <xdr:colOff>45720</xdr:colOff>
      <xdr:row>114</xdr:row>
      <xdr:rowOff>99060</xdr:rowOff>
    </xdr:to>
    <xdr:graphicFrame macro="">
      <xdr:nvGraphicFramePr>
        <xdr:cNvPr id="9" name="Chart 8">
          <a:extLst>
            <a:ext uri="{FF2B5EF4-FFF2-40B4-BE49-F238E27FC236}">
              <a16:creationId xmlns:a16="http://schemas.microsoft.com/office/drawing/2014/main" id="{309C2860-DAD5-6681-26BB-D7FC031150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167640</xdr:colOff>
      <xdr:row>118</xdr:row>
      <xdr:rowOff>118110</xdr:rowOff>
    </xdr:from>
    <xdr:to>
      <xdr:col>12</xdr:col>
      <xdr:colOff>563880</xdr:colOff>
      <xdr:row>133</xdr:row>
      <xdr:rowOff>118110</xdr:rowOff>
    </xdr:to>
    <xdr:graphicFrame macro="">
      <xdr:nvGraphicFramePr>
        <xdr:cNvPr id="12" name="Chart 11">
          <a:extLst>
            <a:ext uri="{FF2B5EF4-FFF2-40B4-BE49-F238E27FC236}">
              <a16:creationId xmlns:a16="http://schemas.microsoft.com/office/drawing/2014/main" id="{B235627A-1870-CFF4-FD59-4A7976313D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7620</xdr:colOff>
      <xdr:row>135</xdr:row>
      <xdr:rowOff>95250</xdr:rowOff>
    </xdr:from>
    <xdr:to>
      <xdr:col>17</xdr:col>
      <xdr:colOff>525780</xdr:colOff>
      <xdr:row>152</xdr:row>
      <xdr:rowOff>152400</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48D9F6DC-3183-AD99-8745-31E63CE674B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566660" y="24784050"/>
              <a:ext cx="5394960" cy="31661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513521</xdr:colOff>
      <xdr:row>3</xdr:row>
      <xdr:rowOff>190500</xdr:rowOff>
    </xdr:from>
    <xdr:to>
      <xdr:col>17</xdr:col>
      <xdr:colOff>501018</xdr:colOff>
      <xdr:row>15</xdr:row>
      <xdr:rowOff>70459</xdr:rowOff>
    </xdr:to>
    <xdr:graphicFrame macro="">
      <xdr:nvGraphicFramePr>
        <xdr:cNvPr id="2" name="Chart 1">
          <a:extLst>
            <a:ext uri="{FF2B5EF4-FFF2-40B4-BE49-F238E27FC236}">
              <a16:creationId xmlns:a16="http://schemas.microsoft.com/office/drawing/2014/main" id="{AB6FF40D-FC5F-463D-9C09-CC1B2F9923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596349</xdr:colOff>
      <xdr:row>3</xdr:row>
      <xdr:rowOff>182217</xdr:rowOff>
    </xdr:from>
    <xdr:to>
      <xdr:col>25</xdr:col>
      <xdr:colOff>13045</xdr:colOff>
      <xdr:row>15</xdr:row>
      <xdr:rowOff>80308</xdr:rowOff>
    </xdr:to>
    <xdr:graphicFrame macro="">
      <xdr:nvGraphicFramePr>
        <xdr:cNvPr id="3" name="Chart 2">
          <a:extLst>
            <a:ext uri="{FF2B5EF4-FFF2-40B4-BE49-F238E27FC236}">
              <a16:creationId xmlns:a16="http://schemas.microsoft.com/office/drawing/2014/main" id="{CBE6D53E-322E-42BB-9F2E-783B2A0179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493734</xdr:colOff>
      <xdr:row>15</xdr:row>
      <xdr:rowOff>165651</xdr:rowOff>
    </xdr:from>
    <xdr:to>
      <xdr:col>17</xdr:col>
      <xdr:colOff>523342</xdr:colOff>
      <xdr:row>27</xdr:row>
      <xdr:rowOff>74543</xdr:rowOff>
    </xdr:to>
    <xdr:graphicFrame macro="">
      <xdr:nvGraphicFramePr>
        <xdr:cNvPr id="4" name="Chart 3">
          <a:extLst>
            <a:ext uri="{FF2B5EF4-FFF2-40B4-BE49-F238E27FC236}">
              <a16:creationId xmlns:a16="http://schemas.microsoft.com/office/drawing/2014/main" id="{59C215F4-BB06-4406-8B29-C875D564EA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596347</xdr:colOff>
      <xdr:row>15</xdr:row>
      <xdr:rowOff>167414</xdr:rowOff>
    </xdr:from>
    <xdr:to>
      <xdr:col>25</xdr:col>
      <xdr:colOff>13043</xdr:colOff>
      <xdr:row>27</xdr:row>
      <xdr:rowOff>57979</xdr:rowOff>
    </xdr:to>
    <xdr:graphicFrame macro="">
      <xdr:nvGraphicFramePr>
        <xdr:cNvPr id="5" name="Chart 4">
          <a:extLst>
            <a:ext uri="{FF2B5EF4-FFF2-40B4-BE49-F238E27FC236}">
              <a16:creationId xmlns:a16="http://schemas.microsoft.com/office/drawing/2014/main" id="{DD2B36F8-0191-4619-8474-D5D35E1F1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12</xdr:row>
      <xdr:rowOff>33131</xdr:rowOff>
    </xdr:from>
    <xdr:to>
      <xdr:col>3</xdr:col>
      <xdr:colOff>488673</xdr:colOff>
      <xdr:row>27</xdr:row>
      <xdr:rowOff>16565</xdr:rowOff>
    </xdr:to>
    <xdr:graphicFrame macro="">
      <xdr:nvGraphicFramePr>
        <xdr:cNvPr id="6" name="Chart 5">
          <a:extLst>
            <a:ext uri="{FF2B5EF4-FFF2-40B4-BE49-F238E27FC236}">
              <a16:creationId xmlns:a16="http://schemas.microsoft.com/office/drawing/2014/main" id="{DE5191CD-309A-4375-852E-61341F9071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569407</xdr:colOff>
      <xdr:row>12</xdr:row>
      <xdr:rowOff>33131</xdr:rowOff>
    </xdr:from>
    <xdr:to>
      <xdr:col>10</xdr:col>
      <xdr:colOff>405848</xdr:colOff>
      <xdr:row>27</xdr:row>
      <xdr:rowOff>41414</xdr:rowOff>
    </xdr:to>
    <xdr:graphicFrame macro="">
      <xdr:nvGraphicFramePr>
        <xdr:cNvPr id="7" name="Chart 6">
          <a:extLst>
            <a:ext uri="{FF2B5EF4-FFF2-40B4-BE49-F238E27FC236}">
              <a16:creationId xmlns:a16="http://schemas.microsoft.com/office/drawing/2014/main" id="{7AB9DE45-29E1-4B3B-919E-EC0601715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157370</xdr:colOff>
      <xdr:row>3</xdr:row>
      <xdr:rowOff>190499</xdr:rowOff>
    </xdr:from>
    <xdr:to>
      <xdr:col>10</xdr:col>
      <xdr:colOff>414130</xdr:colOff>
      <xdr:row>11</xdr:row>
      <xdr:rowOff>132521</xdr:rowOff>
    </xdr:to>
    <xdr:graphicFrame macro="">
      <xdr:nvGraphicFramePr>
        <xdr:cNvPr id="8" name="Chart 7">
          <a:extLst>
            <a:ext uri="{FF2B5EF4-FFF2-40B4-BE49-F238E27FC236}">
              <a16:creationId xmlns:a16="http://schemas.microsoft.com/office/drawing/2014/main" id="{AB4C20A9-7DD8-482C-8C69-4B761CCCA0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154066</xdr:colOff>
      <xdr:row>0</xdr:row>
      <xdr:rowOff>46118</xdr:rowOff>
    </xdr:from>
    <xdr:to>
      <xdr:col>11</xdr:col>
      <xdr:colOff>397567</xdr:colOff>
      <xdr:row>3</xdr:row>
      <xdr:rowOff>150452</xdr:rowOff>
    </xdr:to>
    <xdr:sp macro="" textlink="">
      <xdr:nvSpPr>
        <xdr:cNvPr id="9" name="TextBox 8">
          <a:extLst>
            <a:ext uri="{FF2B5EF4-FFF2-40B4-BE49-F238E27FC236}">
              <a16:creationId xmlns:a16="http://schemas.microsoft.com/office/drawing/2014/main" id="{46584AEF-B66B-28B6-969B-92BC915F7181}"/>
            </a:ext>
          </a:extLst>
        </xdr:cNvPr>
        <xdr:cNvSpPr txBox="1"/>
      </xdr:nvSpPr>
      <xdr:spPr>
        <a:xfrm>
          <a:off x="766979" y="46118"/>
          <a:ext cx="6372631" cy="700682"/>
        </a:xfrm>
        <a:prstGeom prst="rect">
          <a:avLst/>
        </a:prstGeom>
        <a:solidFill>
          <a:srgbClr val="CCC7D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latin typeface="Algerian" panose="04020705040A02060702" pitchFamily="82" charset="0"/>
            </a:rPr>
            <a:t>IRCTC Financial Performance Analysis </a:t>
          </a:r>
        </a:p>
        <a:p>
          <a:pPr algn="ctr"/>
          <a:r>
            <a:rPr lang="en-IN" sz="2400">
              <a:latin typeface="Algerian" panose="04020705040A02060702" pitchFamily="82" charset="0"/>
            </a:rPr>
            <a:t>2015–2025</a:t>
          </a:r>
        </a:p>
      </xdr:txBody>
    </xdr:sp>
    <xdr:clientData/>
  </xdr:twoCellAnchor>
  <xdr:twoCellAnchor editAs="oneCell">
    <xdr:from>
      <xdr:col>0</xdr:col>
      <xdr:colOff>66261</xdr:colOff>
      <xdr:row>0</xdr:row>
      <xdr:rowOff>74543</xdr:rowOff>
    </xdr:from>
    <xdr:to>
      <xdr:col>1</xdr:col>
      <xdr:colOff>115956</xdr:colOff>
      <xdr:row>3</xdr:row>
      <xdr:rowOff>99391</xdr:rowOff>
    </xdr:to>
    <xdr:pic>
      <xdr:nvPicPr>
        <xdr:cNvPr id="18" name="Picture 17">
          <a:extLst>
            <a:ext uri="{FF2B5EF4-FFF2-40B4-BE49-F238E27FC236}">
              <a16:creationId xmlns:a16="http://schemas.microsoft.com/office/drawing/2014/main" id="{B4A90FEC-7125-C735-EAAA-6C979C604A4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6261" y="74543"/>
          <a:ext cx="662608" cy="621196"/>
        </a:xfrm>
        <a:prstGeom prst="rect">
          <a:avLst/>
        </a:prstGeom>
      </xdr:spPr>
    </xdr:pic>
    <xdr:clientData/>
  </xdr:twoCellAnchor>
  <xdr:twoCellAnchor>
    <xdr:from>
      <xdr:col>12</xdr:col>
      <xdr:colOff>124238</xdr:colOff>
      <xdr:row>0</xdr:row>
      <xdr:rowOff>33130</xdr:rowOff>
    </xdr:from>
    <xdr:to>
      <xdr:col>15</xdr:col>
      <xdr:colOff>66261</xdr:colOff>
      <xdr:row>3</xdr:row>
      <xdr:rowOff>132522</xdr:rowOff>
    </xdr:to>
    <xdr:grpSp>
      <xdr:nvGrpSpPr>
        <xdr:cNvPr id="26" name="Group 25">
          <a:extLst>
            <a:ext uri="{FF2B5EF4-FFF2-40B4-BE49-F238E27FC236}">
              <a16:creationId xmlns:a16="http://schemas.microsoft.com/office/drawing/2014/main" id="{41A5FC18-1D87-8805-7593-E543F96E99B0}"/>
            </a:ext>
          </a:extLst>
        </xdr:cNvPr>
        <xdr:cNvGrpSpPr/>
      </xdr:nvGrpSpPr>
      <xdr:grpSpPr>
        <a:xfrm>
          <a:off x="7479195" y="33130"/>
          <a:ext cx="1780762" cy="695740"/>
          <a:chOff x="7479195" y="33130"/>
          <a:chExt cx="1780762" cy="695740"/>
        </a:xfrm>
        <a:solidFill>
          <a:schemeClr val="accent6">
            <a:lumMod val="40000"/>
            <a:lumOff val="60000"/>
          </a:schemeClr>
        </a:solidFill>
      </xdr:grpSpPr>
      <xdr:sp macro="" textlink="'KPI''s'!B15">
        <xdr:nvSpPr>
          <xdr:cNvPr id="19" name="TextBox 18">
            <a:extLst>
              <a:ext uri="{FF2B5EF4-FFF2-40B4-BE49-F238E27FC236}">
                <a16:creationId xmlns:a16="http://schemas.microsoft.com/office/drawing/2014/main" id="{EFBF6995-CF69-1866-2E35-E58F86CF5C81}"/>
              </a:ext>
            </a:extLst>
          </xdr:cNvPr>
          <xdr:cNvSpPr txBox="1"/>
        </xdr:nvSpPr>
        <xdr:spPr>
          <a:xfrm>
            <a:off x="7479195" y="33130"/>
            <a:ext cx="1780761" cy="695740"/>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CC08FAC4-81ED-45FD-A7E1-1FFB3A1D61CB}" type="TxLink">
              <a:rPr lang="en-US" sz="1800" b="0" i="0" u="none" strike="noStrike">
                <a:solidFill>
                  <a:srgbClr val="000000"/>
                </a:solidFill>
                <a:latin typeface="Calibri"/>
                <a:ea typeface="Calibri"/>
                <a:cs typeface="Calibri"/>
              </a:rPr>
              <a:pPr algn="ctr"/>
              <a:t> 24,678.0</a:t>
            </a:fld>
            <a:endParaRPr lang="en-IN" sz="1800"/>
          </a:p>
        </xdr:txBody>
      </xdr:sp>
      <xdr:sp macro="" textlink="">
        <xdr:nvSpPr>
          <xdr:cNvPr id="10" name="TextBox 9">
            <a:extLst>
              <a:ext uri="{FF2B5EF4-FFF2-40B4-BE49-F238E27FC236}">
                <a16:creationId xmlns:a16="http://schemas.microsoft.com/office/drawing/2014/main" id="{D4862254-4940-167C-0B8C-AE76CA218CE6}"/>
              </a:ext>
            </a:extLst>
          </xdr:cNvPr>
          <xdr:cNvSpPr txBox="1"/>
        </xdr:nvSpPr>
        <xdr:spPr>
          <a:xfrm>
            <a:off x="7487478" y="49695"/>
            <a:ext cx="1772479" cy="3230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Arial Rounded MT Bold" panose="020F0704030504030204" pitchFamily="34" charset="0"/>
              </a:rPr>
              <a:t>Total Revenue</a:t>
            </a:r>
          </a:p>
        </xdr:txBody>
      </xdr:sp>
    </xdr:grpSp>
    <xdr:clientData/>
  </xdr:twoCellAnchor>
  <xdr:twoCellAnchor>
    <xdr:from>
      <xdr:col>15</xdr:col>
      <xdr:colOff>358911</xdr:colOff>
      <xdr:row>0</xdr:row>
      <xdr:rowOff>0</xdr:rowOff>
    </xdr:from>
    <xdr:to>
      <xdr:col>18</xdr:col>
      <xdr:colOff>193260</xdr:colOff>
      <xdr:row>3</xdr:row>
      <xdr:rowOff>115957</xdr:rowOff>
    </xdr:to>
    <xdr:grpSp>
      <xdr:nvGrpSpPr>
        <xdr:cNvPr id="27" name="Group 26">
          <a:extLst>
            <a:ext uri="{FF2B5EF4-FFF2-40B4-BE49-F238E27FC236}">
              <a16:creationId xmlns:a16="http://schemas.microsoft.com/office/drawing/2014/main" id="{66D3B4C8-1932-E762-9F87-8F33EABC014D}"/>
            </a:ext>
          </a:extLst>
        </xdr:cNvPr>
        <xdr:cNvGrpSpPr/>
      </xdr:nvGrpSpPr>
      <xdr:grpSpPr>
        <a:xfrm>
          <a:off x="9552607" y="0"/>
          <a:ext cx="1673088" cy="712305"/>
          <a:chOff x="9607825" y="0"/>
          <a:chExt cx="1673088" cy="712305"/>
        </a:xfrm>
        <a:solidFill>
          <a:schemeClr val="accent2">
            <a:lumMod val="40000"/>
            <a:lumOff val="60000"/>
          </a:schemeClr>
        </a:solidFill>
      </xdr:grpSpPr>
      <xdr:sp macro="" textlink="'KPI''s'!E15">
        <xdr:nvSpPr>
          <xdr:cNvPr id="20" name="TextBox 19">
            <a:extLst>
              <a:ext uri="{FF2B5EF4-FFF2-40B4-BE49-F238E27FC236}">
                <a16:creationId xmlns:a16="http://schemas.microsoft.com/office/drawing/2014/main" id="{80D6B922-41BE-6C22-9CDC-C2AF8A1C31F2}"/>
              </a:ext>
            </a:extLst>
          </xdr:cNvPr>
          <xdr:cNvSpPr txBox="1"/>
        </xdr:nvSpPr>
        <xdr:spPr>
          <a:xfrm>
            <a:off x="9607827" y="33130"/>
            <a:ext cx="1673086" cy="6791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50A1ADFC-4CEF-4B9C-AB0A-88FC4EDCFBEB}" type="TxLink">
              <a:rPr lang="en-US" sz="1800" b="0" i="0" u="none" strike="noStrike">
                <a:solidFill>
                  <a:srgbClr val="000000"/>
                </a:solidFill>
                <a:latin typeface="Calibri"/>
                <a:ea typeface="Calibri"/>
                <a:cs typeface="Calibri"/>
              </a:rPr>
              <a:pPr algn="ctr"/>
              <a:t> 17,307.0</a:t>
            </a:fld>
            <a:endParaRPr lang="en-IN" sz="1800"/>
          </a:p>
        </xdr:txBody>
      </xdr:sp>
      <xdr:sp macro="" textlink="">
        <xdr:nvSpPr>
          <xdr:cNvPr id="11" name="TextBox 10">
            <a:extLst>
              <a:ext uri="{FF2B5EF4-FFF2-40B4-BE49-F238E27FC236}">
                <a16:creationId xmlns:a16="http://schemas.microsoft.com/office/drawing/2014/main" id="{BE9B07C7-8542-24DC-AF5C-C8316261A415}"/>
              </a:ext>
            </a:extLst>
          </xdr:cNvPr>
          <xdr:cNvSpPr txBox="1"/>
        </xdr:nvSpPr>
        <xdr:spPr>
          <a:xfrm>
            <a:off x="9607825" y="0"/>
            <a:ext cx="1673087" cy="32302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Arial Rounded MT Bold" panose="020F0704030504030204" pitchFamily="34" charset="0"/>
              </a:rPr>
              <a:t>Total</a:t>
            </a:r>
            <a:r>
              <a:rPr lang="en-IN" sz="1400" baseline="0">
                <a:latin typeface="Arial Rounded MT Bold" panose="020F0704030504030204" pitchFamily="34" charset="0"/>
              </a:rPr>
              <a:t>  Expenses</a:t>
            </a:r>
            <a:endParaRPr lang="en-IN" sz="1400">
              <a:latin typeface="Arial Rounded MT Bold" panose="020F0704030504030204" pitchFamily="34" charset="0"/>
            </a:endParaRPr>
          </a:p>
        </xdr:txBody>
      </xdr:sp>
    </xdr:grpSp>
    <xdr:clientData/>
  </xdr:twoCellAnchor>
  <xdr:twoCellAnchor>
    <xdr:from>
      <xdr:col>18</xdr:col>
      <xdr:colOff>461064</xdr:colOff>
      <xdr:row>0</xdr:row>
      <xdr:rowOff>49696</xdr:rowOff>
    </xdr:from>
    <xdr:to>
      <xdr:col>21</xdr:col>
      <xdr:colOff>386520</xdr:colOff>
      <xdr:row>3</xdr:row>
      <xdr:rowOff>107674</xdr:rowOff>
    </xdr:to>
    <xdr:grpSp>
      <xdr:nvGrpSpPr>
        <xdr:cNvPr id="28" name="Group 27">
          <a:extLst>
            <a:ext uri="{FF2B5EF4-FFF2-40B4-BE49-F238E27FC236}">
              <a16:creationId xmlns:a16="http://schemas.microsoft.com/office/drawing/2014/main" id="{D74243B8-21FC-2CCC-620E-FB00864D2846}"/>
            </a:ext>
          </a:extLst>
        </xdr:cNvPr>
        <xdr:cNvGrpSpPr/>
      </xdr:nvGrpSpPr>
      <xdr:grpSpPr>
        <a:xfrm>
          <a:off x="11493499" y="49696"/>
          <a:ext cx="1764195" cy="654326"/>
          <a:chOff x="11537674" y="49696"/>
          <a:chExt cx="1764195" cy="654326"/>
        </a:xfrm>
        <a:solidFill>
          <a:schemeClr val="accent1">
            <a:lumMod val="60000"/>
            <a:lumOff val="40000"/>
          </a:schemeClr>
        </a:solidFill>
      </xdr:grpSpPr>
      <xdr:sp macro="" textlink="'KPI''s'!H4">
        <xdr:nvSpPr>
          <xdr:cNvPr id="16" name="Rectangle 15">
            <a:extLst>
              <a:ext uri="{FF2B5EF4-FFF2-40B4-BE49-F238E27FC236}">
                <a16:creationId xmlns:a16="http://schemas.microsoft.com/office/drawing/2014/main" id="{D4386FCC-0CB3-9F74-393E-1F17333EA226}"/>
              </a:ext>
            </a:extLst>
          </xdr:cNvPr>
          <xdr:cNvSpPr/>
        </xdr:nvSpPr>
        <xdr:spPr>
          <a:xfrm>
            <a:off x="11537674" y="49696"/>
            <a:ext cx="1764195" cy="654326"/>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E01E97E-2600-4490-B639-BDA4A414D91F}" type="TxLink">
              <a:rPr lang="en-US" sz="1800" b="0" i="0" u="none" strike="noStrike">
                <a:solidFill>
                  <a:srgbClr val="000000"/>
                </a:solidFill>
                <a:latin typeface="Calibri"/>
                <a:ea typeface="Calibri"/>
                <a:cs typeface="Calibri"/>
              </a:rPr>
              <a:pPr algn="ctr"/>
              <a:t>1,315.0</a:t>
            </a:fld>
            <a:endParaRPr lang="en-IN" sz="1800"/>
          </a:p>
        </xdr:txBody>
      </xdr:sp>
      <xdr:sp macro="" textlink="">
        <xdr:nvSpPr>
          <xdr:cNvPr id="17" name="TextBox 16">
            <a:extLst>
              <a:ext uri="{FF2B5EF4-FFF2-40B4-BE49-F238E27FC236}">
                <a16:creationId xmlns:a16="http://schemas.microsoft.com/office/drawing/2014/main" id="{C48E586B-D30B-2C84-719D-CF05A3F7E594}"/>
              </a:ext>
            </a:extLst>
          </xdr:cNvPr>
          <xdr:cNvSpPr txBox="1"/>
        </xdr:nvSpPr>
        <xdr:spPr>
          <a:xfrm>
            <a:off x="11554238" y="66261"/>
            <a:ext cx="1714501" cy="28989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a:t>Highest</a:t>
            </a:r>
            <a:r>
              <a:rPr lang="en-IN" sz="1400" baseline="0"/>
              <a:t> Net Profit </a:t>
            </a:r>
            <a:r>
              <a:rPr lang="en-IN" sz="500" baseline="0"/>
              <a:t>(2025)</a:t>
            </a:r>
            <a:endParaRPr lang="en-IN" sz="500"/>
          </a:p>
        </xdr:txBody>
      </xdr:sp>
    </xdr:grpSp>
    <xdr:clientData/>
  </xdr:twoCellAnchor>
  <xdr:twoCellAnchor>
    <xdr:from>
      <xdr:col>22</xdr:col>
      <xdr:colOff>49696</xdr:colOff>
      <xdr:row>0</xdr:row>
      <xdr:rowOff>49694</xdr:rowOff>
    </xdr:from>
    <xdr:to>
      <xdr:col>24</xdr:col>
      <xdr:colOff>596348</xdr:colOff>
      <xdr:row>3</xdr:row>
      <xdr:rowOff>99391</xdr:rowOff>
    </xdr:to>
    <xdr:grpSp>
      <xdr:nvGrpSpPr>
        <xdr:cNvPr id="29" name="Group 28">
          <a:extLst>
            <a:ext uri="{FF2B5EF4-FFF2-40B4-BE49-F238E27FC236}">
              <a16:creationId xmlns:a16="http://schemas.microsoft.com/office/drawing/2014/main" id="{98050666-18A9-3768-B322-6501652BADCA}"/>
            </a:ext>
          </a:extLst>
        </xdr:cNvPr>
        <xdr:cNvGrpSpPr/>
      </xdr:nvGrpSpPr>
      <xdr:grpSpPr>
        <a:xfrm>
          <a:off x="13533783" y="49694"/>
          <a:ext cx="1772478" cy="646045"/>
          <a:chOff x="13533783" y="49694"/>
          <a:chExt cx="1772478" cy="679174"/>
        </a:xfrm>
        <a:solidFill>
          <a:schemeClr val="accent3">
            <a:lumMod val="40000"/>
            <a:lumOff val="60000"/>
          </a:schemeClr>
        </a:solidFill>
      </xdr:grpSpPr>
      <xdr:sp macro="" textlink="'KPI''s'!K15">
        <xdr:nvSpPr>
          <xdr:cNvPr id="23" name="Rectangle 22">
            <a:extLst>
              <a:ext uri="{FF2B5EF4-FFF2-40B4-BE49-F238E27FC236}">
                <a16:creationId xmlns:a16="http://schemas.microsoft.com/office/drawing/2014/main" id="{B47FD7A9-4C74-D95F-001A-1E1DAD4FE318}"/>
              </a:ext>
            </a:extLst>
          </xdr:cNvPr>
          <xdr:cNvSpPr/>
        </xdr:nvSpPr>
        <xdr:spPr>
          <a:xfrm>
            <a:off x="13533783" y="49694"/>
            <a:ext cx="1772478" cy="679174"/>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532723A-9258-4941-9E95-F97C8AF1D0BB}" type="TxLink">
              <a:rPr lang="en-US" sz="1800" b="0" i="0" u="none" strike="noStrike">
                <a:solidFill>
                  <a:srgbClr val="000000"/>
                </a:solidFill>
                <a:latin typeface="Calibri"/>
                <a:ea typeface="Calibri"/>
                <a:cs typeface="Calibri"/>
              </a:rPr>
              <a:pPr algn="ctr"/>
              <a:t>1,316</a:t>
            </a:fld>
            <a:r>
              <a:rPr lang="en-US" sz="1800" b="0" i="0" u="none" strike="noStrike">
                <a:solidFill>
                  <a:srgbClr val="000000"/>
                </a:solidFill>
                <a:latin typeface="Calibri"/>
                <a:ea typeface="Calibri"/>
                <a:cs typeface="Calibri"/>
              </a:rPr>
              <a:t>.0</a:t>
            </a:r>
            <a:endParaRPr lang="en-IN" sz="1800"/>
          </a:p>
        </xdr:txBody>
      </xdr:sp>
      <xdr:sp macro="" textlink="">
        <xdr:nvSpPr>
          <xdr:cNvPr id="25" name="TextBox 24">
            <a:extLst>
              <a:ext uri="{FF2B5EF4-FFF2-40B4-BE49-F238E27FC236}">
                <a16:creationId xmlns:a16="http://schemas.microsoft.com/office/drawing/2014/main" id="{9D61E803-3C9D-6477-AAA2-876C5DE2DAE0}"/>
              </a:ext>
            </a:extLst>
          </xdr:cNvPr>
          <xdr:cNvSpPr txBox="1"/>
        </xdr:nvSpPr>
        <xdr:spPr>
          <a:xfrm>
            <a:off x="13542065" y="74543"/>
            <a:ext cx="1764195" cy="3064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mn-lt"/>
              </a:rPr>
              <a:t>Total Other Income</a:t>
            </a:r>
          </a:p>
        </xdr:txBody>
      </xdr:sp>
    </xdr:grpSp>
    <xdr:clientData/>
  </xdr:twoCellAnchor>
  <xdr:twoCellAnchor editAs="oneCell">
    <xdr:from>
      <xdr:col>12</xdr:col>
      <xdr:colOff>82825</xdr:colOff>
      <xdr:row>1</xdr:row>
      <xdr:rowOff>115956</xdr:rowOff>
    </xdr:from>
    <xdr:to>
      <xdr:col>12</xdr:col>
      <xdr:colOff>579783</xdr:colOff>
      <xdr:row>3</xdr:row>
      <xdr:rowOff>152401</xdr:rowOff>
    </xdr:to>
    <xdr:pic>
      <xdr:nvPicPr>
        <xdr:cNvPr id="31" name="Graphic 30" descr="Upward trend with solid fill">
          <a:extLst>
            <a:ext uri="{FF2B5EF4-FFF2-40B4-BE49-F238E27FC236}">
              <a16:creationId xmlns:a16="http://schemas.microsoft.com/office/drawing/2014/main" id="{A0E401BD-4AF8-7A47-0FF0-6848AAE4303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437782" y="314739"/>
          <a:ext cx="496958" cy="434010"/>
        </a:xfrm>
        <a:prstGeom prst="rect">
          <a:avLst/>
        </a:prstGeom>
      </xdr:spPr>
    </xdr:pic>
    <xdr:clientData/>
  </xdr:twoCellAnchor>
  <xdr:twoCellAnchor editAs="oneCell">
    <xdr:from>
      <xdr:col>15</xdr:col>
      <xdr:colOff>405848</xdr:colOff>
      <xdr:row>1</xdr:row>
      <xdr:rowOff>115956</xdr:rowOff>
    </xdr:from>
    <xdr:to>
      <xdr:col>16</xdr:col>
      <xdr:colOff>119268</xdr:colOff>
      <xdr:row>3</xdr:row>
      <xdr:rowOff>127551</xdr:rowOff>
    </xdr:to>
    <xdr:pic>
      <xdr:nvPicPr>
        <xdr:cNvPr id="33" name="Graphic 32" descr="Money with solid fill">
          <a:extLst>
            <a:ext uri="{FF2B5EF4-FFF2-40B4-BE49-F238E27FC236}">
              <a16:creationId xmlns:a16="http://schemas.microsoft.com/office/drawing/2014/main" id="{DE6B7176-F8E1-9C67-26EE-C12E3D89B4F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599544" y="314739"/>
          <a:ext cx="326333" cy="409160"/>
        </a:xfrm>
        <a:prstGeom prst="rect">
          <a:avLst/>
        </a:prstGeom>
      </xdr:spPr>
    </xdr:pic>
    <xdr:clientData/>
  </xdr:twoCellAnchor>
  <xdr:twoCellAnchor editAs="oneCell">
    <xdr:from>
      <xdr:col>22</xdr:col>
      <xdr:colOff>61290</xdr:colOff>
      <xdr:row>1</xdr:row>
      <xdr:rowOff>157371</xdr:rowOff>
    </xdr:from>
    <xdr:to>
      <xdr:col>22</xdr:col>
      <xdr:colOff>425724</xdr:colOff>
      <xdr:row>3</xdr:row>
      <xdr:rowOff>124240</xdr:rowOff>
    </xdr:to>
    <xdr:pic>
      <xdr:nvPicPr>
        <xdr:cNvPr id="35" name="Graphic 34" descr="Bar graph with upward trend with solid fill">
          <a:extLst>
            <a:ext uri="{FF2B5EF4-FFF2-40B4-BE49-F238E27FC236}">
              <a16:creationId xmlns:a16="http://schemas.microsoft.com/office/drawing/2014/main" id="{D49332CD-EE8B-5696-9799-68FA1CA6574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3545377" y="356154"/>
          <a:ext cx="364434" cy="364434"/>
        </a:xfrm>
        <a:prstGeom prst="rect">
          <a:avLst/>
        </a:prstGeom>
      </xdr:spPr>
    </xdr:pic>
    <xdr:clientData/>
  </xdr:twoCellAnchor>
  <xdr:twoCellAnchor editAs="oneCell">
    <xdr:from>
      <xdr:col>18</xdr:col>
      <xdr:colOff>472109</xdr:colOff>
      <xdr:row>1</xdr:row>
      <xdr:rowOff>140804</xdr:rowOff>
    </xdr:from>
    <xdr:to>
      <xdr:col>19</xdr:col>
      <xdr:colOff>260074</xdr:colOff>
      <xdr:row>3</xdr:row>
      <xdr:rowOff>144117</xdr:rowOff>
    </xdr:to>
    <xdr:pic>
      <xdr:nvPicPr>
        <xdr:cNvPr id="37" name="Graphic 36" descr="Upward trend with solid fill">
          <a:extLst>
            <a:ext uri="{FF2B5EF4-FFF2-40B4-BE49-F238E27FC236}">
              <a16:creationId xmlns:a16="http://schemas.microsoft.com/office/drawing/2014/main" id="{338989F3-E057-05AC-34D9-5AE061B58B9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504544" y="339587"/>
          <a:ext cx="400878" cy="400878"/>
        </a:xfrm>
        <a:prstGeom prst="rect">
          <a:avLst/>
        </a:prstGeom>
      </xdr:spPr>
    </xdr:pic>
    <xdr:clientData/>
  </xdr:twoCellAnchor>
  <xdr:twoCellAnchor editAs="oneCell">
    <xdr:from>
      <xdr:col>0</xdr:col>
      <xdr:colOff>49696</xdr:colOff>
      <xdr:row>4</xdr:row>
      <xdr:rowOff>91109</xdr:rowOff>
    </xdr:from>
    <xdr:to>
      <xdr:col>2</xdr:col>
      <xdr:colOff>82826</xdr:colOff>
      <xdr:row>11</xdr:row>
      <xdr:rowOff>107673</xdr:rowOff>
    </xdr:to>
    <mc:AlternateContent xmlns:mc="http://schemas.openxmlformats.org/markup-compatibility/2006" xmlns:a14="http://schemas.microsoft.com/office/drawing/2010/main">
      <mc:Choice Requires="a14">
        <xdr:graphicFrame macro="">
          <xdr:nvGraphicFramePr>
            <xdr:cNvPr id="40" name="YEARS 2">
              <a:extLst>
                <a:ext uri="{FF2B5EF4-FFF2-40B4-BE49-F238E27FC236}">
                  <a16:creationId xmlns:a16="http://schemas.microsoft.com/office/drawing/2014/main" id="{F23BA694-5CD1-43B0-886A-79F0120CA188}"/>
                </a:ext>
              </a:extLst>
            </xdr:cNvPr>
            <xdr:cNvGraphicFramePr/>
          </xdr:nvGraphicFramePr>
          <xdr:xfrm>
            <a:off x="0" y="0"/>
            <a:ext cx="0" cy="0"/>
          </xdr:xfrm>
          <a:graphic>
            <a:graphicData uri="http://schemas.microsoft.com/office/drawing/2010/slicer">
              <sle:slicer xmlns:sle="http://schemas.microsoft.com/office/drawing/2010/slicer" name="YEARS 2"/>
            </a:graphicData>
          </a:graphic>
        </xdr:graphicFrame>
      </mc:Choice>
      <mc:Fallback xmlns="">
        <xdr:sp macro="" textlink="">
          <xdr:nvSpPr>
            <xdr:cNvPr id="0" name=""/>
            <xdr:cNvSpPr>
              <a:spLocks noTextEdit="1"/>
            </xdr:cNvSpPr>
          </xdr:nvSpPr>
          <xdr:spPr>
            <a:xfrm>
              <a:off x="49696" y="886239"/>
              <a:ext cx="1258956" cy="14080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563880</xdr:colOff>
      <xdr:row>7</xdr:row>
      <xdr:rowOff>7621</xdr:rowOff>
    </xdr:from>
    <xdr:to>
      <xdr:col>7</xdr:col>
      <xdr:colOff>0</xdr:colOff>
      <xdr:row>13</xdr:row>
      <xdr:rowOff>83820</xdr:rowOff>
    </xdr:to>
    <mc:AlternateContent xmlns:mc="http://schemas.openxmlformats.org/markup-compatibility/2006" xmlns:a14="http://schemas.microsoft.com/office/drawing/2010/main">
      <mc:Choice Requires="a14">
        <xdr:graphicFrame macro="">
          <xdr:nvGraphicFramePr>
            <xdr:cNvPr id="3" name="YEARS">
              <a:extLst>
                <a:ext uri="{FF2B5EF4-FFF2-40B4-BE49-F238E27FC236}">
                  <a16:creationId xmlns:a16="http://schemas.microsoft.com/office/drawing/2014/main" id="{BCDA56D2-5730-5777-F3B7-B38A443F8E5C}"/>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4945380" y="1287781"/>
              <a:ext cx="1440180" cy="1173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 kavitake" refreshedDate="46123.546534490742" createdVersion="8" refreshedVersion="8" minRefreshableVersion="3" recordCount="11" xr:uid="{3B91BE3F-9C04-423A-9B4E-F48BF28EAF45}">
  <cacheSource type="worksheet">
    <worksheetSource name="Table_2"/>
  </cacheSource>
  <cacheFields count="16">
    <cacheField name="YEARS" numFmtId="168">
      <sharedItems containsSemiMixedTypes="0" containsNonDate="0" containsDate="1" containsString="0" minDate="2015-03-01T00:00:00" maxDate="2025-03-02T00:00:00" count="11">
        <d v="2015-03-01T00:00:00"/>
        <d v="2016-03-01T00:00:00"/>
        <d v="2017-03-01T00:00:00"/>
        <d v="2018-03-01T00:00:00"/>
        <d v="2019-03-01T00:00:00"/>
        <d v="2020-03-01T00:00:00"/>
        <d v="2021-03-01T00:00:00"/>
        <d v="2022-03-01T00:00:00"/>
        <d v="2023-03-01T00:00:00"/>
        <d v="2024-03-01T00:00:00"/>
        <d v="2025-03-01T00:00:00"/>
      </sharedItems>
      <fieldGroup par="15"/>
    </cacheField>
    <cacheField name="Sales +" numFmtId="165">
      <sharedItems containsSemiMixedTypes="0" containsString="0" containsNumber="1" containsInteger="1" minValue="777" maxValue="4675"/>
    </cacheField>
    <cacheField name="Expenses +" numFmtId="165">
      <sharedItems containsSemiMixedTypes="0" containsString="0" containsNumber="1" containsInteger="1" minValue="589" maxValue="3124"/>
    </cacheField>
    <cacheField name="Operating Profit" numFmtId="165">
      <sharedItems containsSemiMixedTypes="0" containsString="0" containsNumber="1" containsInteger="1" minValue="152" maxValue="1551"/>
    </cacheField>
    <cacheField name="OPM %" numFmtId="166">
      <sharedItems containsSemiMixedTypes="0" containsString="0" containsNumber="1" minValue="0.14000000000000001" maxValue="0.47"/>
    </cacheField>
    <cacheField name="Other Income +" numFmtId="3">
      <sharedItems containsSemiMixedTypes="0" containsString="0" containsNumber="1" containsInteger="1" minValue="67" maxValue="276" count="11">
        <n v="82"/>
        <n v="139"/>
        <n v="67"/>
        <n v="99"/>
        <n v="126"/>
        <n v="77"/>
        <n v="124"/>
        <n v="72"/>
        <n v="148"/>
        <n v="106"/>
        <n v="276"/>
      </sharedItems>
    </cacheField>
    <cacheField name="Interest" numFmtId="0">
      <sharedItems containsSemiMixedTypes="0" containsString="0" containsNumber="1" containsInteger="1" minValue="0" maxValue="19"/>
    </cacheField>
    <cacheField name="Depreciation" numFmtId="0">
      <sharedItems containsSemiMixedTypes="0" containsString="0" containsNumber="1" containsInteger="1" minValue="20" maxValue="57"/>
    </cacheField>
    <cacheField name="Profit before tax" numFmtId="167">
      <sharedItems containsSemiMixedTypes="0" containsString="0" containsNumber="1" containsInteger="1" minValue="214" maxValue="1757"/>
    </cacheField>
    <cacheField name="Tax %" numFmtId="166">
      <sharedItems containsSemiMixedTypes="0" containsString="0" containsNumber="1" minValue="0.25" maxValue="0.39"/>
    </cacheField>
    <cacheField name="Net Profit +" numFmtId="167">
      <sharedItems containsSemiMixedTypes="0" containsString="0" containsNumber="1" containsInteger="1" minValue="131" maxValue="1315"/>
    </cacheField>
    <cacheField name="EPS in Rs" numFmtId="0">
      <sharedItems containsSemiMixedTypes="0" containsString="0" containsNumber="1" minValue="2.34" maxValue="18.86"/>
    </cacheField>
    <cacheField name="Dividend Payout %" numFmtId="166">
      <sharedItems containsSemiMixedTypes="0" containsString="0" containsNumber="1" minValue="0.2" maxValue="0.98"/>
    </cacheField>
    <cacheField name="Months (YEARS)" numFmtId="0" databaseField="0">
      <fieldGroup base="0">
        <rangePr groupBy="months" startDate="2015-03-01T00:00:00" endDate="2025-03-02T00:00:00"/>
        <groupItems count="14">
          <s v="&lt;01-03-2015"/>
          <s v="Jan"/>
          <s v="Feb"/>
          <s v="Mar"/>
          <s v="Apr"/>
          <s v="May"/>
          <s v="Jun"/>
          <s v="Jul"/>
          <s v="Aug"/>
          <s v="Sep"/>
          <s v="Oct"/>
          <s v="Nov"/>
          <s v="Dec"/>
          <s v="&gt;02-03-2025"/>
        </groupItems>
      </fieldGroup>
    </cacheField>
    <cacheField name="Quarters (YEARS)" numFmtId="0" databaseField="0">
      <fieldGroup base="0">
        <rangePr groupBy="quarters" startDate="2015-03-01T00:00:00" endDate="2025-03-02T00:00:00"/>
        <groupItems count="6">
          <s v="&lt;01-03-2015"/>
          <s v="Qtr1"/>
          <s v="Qtr2"/>
          <s v="Qtr3"/>
          <s v="Qtr4"/>
          <s v="&gt;02-03-2025"/>
        </groupItems>
      </fieldGroup>
    </cacheField>
    <cacheField name="Years (YEARS)" numFmtId="0" databaseField="0">
      <fieldGroup base="0">
        <rangePr groupBy="years" startDate="2015-03-01T00:00:00" endDate="2025-03-02T00:00:00"/>
        <groupItems count="13">
          <s v="&lt;01-03-2015"/>
          <s v="2015"/>
          <s v="2016"/>
          <s v="2017"/>
          <s v="2018"/>
          <s v="2019"/>
          <s v="2020"/>
          <s v="2021"/>
          <s v="2022"/>
          <s v="2023"/>
          <s v="2024"/>
          <s v="2025"/>
          <s v="&gt;02-03-2025"/>
        </groupItems>
      </fieldGroup>
    </cacheField>
  </cacheFields>
  <extLst>
    <ext xmlns:x14="http://schemas.microsoft.com/office/spreadsheetml/2009/9/main" uri="{725AE2AE-9491-48be-B2B4-4EB974FC3084}">
      <x14:pivotCacheDefinition pivotCacheId="658199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n v="1059"/>
    <n v="907"/>
    <n v="152"/>
    <n v="0.14000000000000001"/>
    <x v="0"/>
    <n v="0"/>
    <n v="20"/>
    <n v="214"/>
    <n v="0.39"/>
    <n v="131"/>
    <n v="13.06"/>
    <n v="0.2"/>
  </r>
  <r>
    <x v="1"/>
    <n v="1367"/>
    <n v="1176"/>
    <n v="190"/>
    <n v="0.14000000000000001"/>
    <x v="1"/>
    <n v="0"/>
    <n v="21"/>
    <n v="309"/>
    <n v="0.39"/>
    <n v="189"/>
    <n v="18.86"/>
    <n v="0.4"/>
  </r>
  <r>
    <x v="2"/>
    <n v="1520"/>
    <n v="1206"/>
    <n v="314"/>
    <n v="0.21"/>
    <x v="2"/>
    <n v="3"/>
    <n v="22"/>
    <n v="355"/>
    <n v="0.35"/>
    <n v="229"/>
    <n v="11.45"/>
    <n v="0.49"/>
  </r>
  <r>
    <x v="3"/>
    <n v="1466"/>
    <n v="1192"/>
    <n v="274"/>
    <n v="0.19"/>
    <x v="3"/>
    <n v="3"/>
    <n v="24"/>
    <n v="346"/>
    <n v="0.36"/>
    <n v="221"/>
    <n v="11.03"/>
    <n v="0.21"/>
  </r>
  <r>
    <x v="4"/>
    <n v="1870"/>
    <n v="1487"/>
    <n v="383"/>
    <n v="0.2"/>
    <x v="4"/>
    <n v="2"/>
    <n v="29"/>
    <n v="479"/>
    <n v="0.36"/>
    <n v="309"/>
    <n v="3.86"/>
    <n v="0.98"/>
  </r>
  <r>
    <x v="5"/>
    <n v="2264"/>
    <n v="1562"/>
    <n v="703"/>
    <n v="0.31"/>
    <x v="5"/>
    <n v="10"/>
    <n v="40"/>
    <n v="730"/>
    <n v="0.3"/>
    <n v="513"/>
    <n v="6.41"/>
    <n v="0.39"/>
  </r>
  <r>
    <x v="6"/>
    <n v="777"/>
    <n v="589"/>
    <n v="188"/>
    <n v="0.24"/>
    <x v="6"/>
    <n v="8"/>
    <n v="46"/>
    <n v="258"/>
    <n v="0.27"/>
    <n v="187"/>
    <n v="2.34"/>
    <n v="0.43"/>
  </r>
  <r>
    <x v="7"/>
    <n v="1879"/>
    <n v="1005"/>
    <n v="874"/>
    <n v="0.47"/>
    <x v="7"/>
    <n v="11"/>
    <n v="49"/>
    <n v="885"/>
    <n v="0.26"/>
    <n v="660"/>
    <n v="8.24"/>
    <n v="0.42"/>
  </r>
  <r>
    <x v="8"/>
    <n v="3541"/>
    <n v="2265"/>
    <n v="1276"/>
    <n v="0.36"/>
    <x v="8"/>
    <n v="16"/>
    <n v="54"/>
    <n v="1354"/>
    <n v="0.26"/>
    <n v="1006"/>
    <n v="12.57"/>
    <n v="0.44"/>
  </r>
  <r>
    <x v="9"/>
    <n v="4260"/>
    <n v="2794"/>
    <n v="1466"/>
    <n v="0.34"/>
    <x v="9"/>
    <n v="19"/>
    <n v="57"/>
    <n v="1496"/>
    <n v="0.26"/>
    <n v="1111"/>
    <n v="13.89"/>
    <n v="0.47"/>
  </r>
  <r>
    <x v="10"/>
    <n v="4675"/>
    <n v="3124"/>
    <n v="1551"/>
    <n v="0.33"/>
    <x v="10"/>
    <n v="17"/>
    <n v="53"/>
    <n v="1757"/>
    <n v="0.25"/>
    <n v="1315"/>
    <n v="16.43"/>
    <n v="0.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33B39A-1EB6-4155-9B44-4E15A548CF7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A120:C132" firstHeaderRow="0" firstDataRow="1" firstDataCol="1"/>
  <pivotFields count="16">
    <pivotField axis="axisRow" numFmtId="168" showAll="0">
      <items count="12">
        <item x="0"/>
        <item x="1"/>
        <item x="2"/>
        <item x="3"/>
        <item x="4"/>
        <item x="5"/>
        <item x="6"/>
        <item x="7"/>
        <item x="8"/>
        <item x="9"/>
        <item x="10"/>
        <item t="default"/>
      </items>
    </pivotField>
    <pivotField numFmtId="165" showAll="0"/>
    <pivotField numFmtId="165" showAll="0"/>
    <pivotField numFmtId="165" showAll="0"/>
    <pivotField numFmtId="166" showAll="0"/>
    <pivotField numFmtId="3" showAll="0"/>
    <pivotField showAll="0"/>
    <pivotField showAll="0"/>
    <pivotField numFmtId="167" showAll="0"/>
    <pivotField numFmtId="166" showAll="0"/>
    <pivotField numFmtId="167" showAll="0"/>
    <pivotField dataField="1" showAll="0"/>
    <pivotField dataField="1" numFmtId="166"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4">
        <item sd="0" x="0"/>
        <item sd="0" x="1"/>
        <item sd="0" x="2"/>
        <item sd="0" x="3"/>
        <item sd="0" x="4"/>
        <item sd="0" x="5"/>
        <item sd="0" x="6"/>
        <item sd="0" x="7"/>
        <item sd="0" x="8"/>
        <item sd="0" x="9"/>
        <item sd="0" x="10"/>
        <item sd="0" x="11"/>
        <item sd="0" x="12"/>
        <item t="default"/>
      </items>
    </pivotField>
  </pivotFields>
  <rowFields count="4">
    <field x="15"/>
    <field x="14"/>
    <field x="13"/>
    <field x="0"/>
  </rowFields>
  <rowItems count="12">
    <i>
      <x v="1"/>
    </i>
    <i>
      <x v="2"/>
    </i>
    <i>
      <x v="3"/>
    </i>
    <i>
      <x v="4"/>
    </i>
    <i>
      <x v="5"/>
    </i>
    <i>
      <x v="6"/>
    </i>
    <i>
      <x v="7"/>
    </i>
    <i>
      <x v="8"/>
    </i>
    <i>
      <x v="9"/>
    </i>
    <i>
      <x v="10"/>
    </i>
    <i>
      <x v="11"/>
    </i>
    <i t="grand">
      <x/>
    </i>
  </rowItems>
  <colFields count="1">
    <field x="-2"/>
  </colFields>
  <colItems count="2">
    <i>
      <x/>
    </i>
    <i i="1">
      <x v="1"/>
    </i>
  </colItems>
  <dataFields count="2">
    <dataField name=" Dividend %" fld="12" baseField="15" baseItem="1" numFmtId="166"/>
    <dataField name="EPS " fld="11" baseField="15" baseItem="1"/>
  </dataFields>
  <chartFormats count="8">
    <chartFormat chart="41" format="4" series="1">
      <pivotArea type="data" outline="0" fieldPosition="0">
        <references count="1">
          <reference field="4294967294" count="1" selected="0">
            <x v="1"/>
          </reference>
        </references>
      </pivotArea>
    </chartFormat>
    <chartFormat chart="41" format="5">
      <pivotArea type="data" outline="0" fieldPosition="0">
        <references count="2">
          <reference field="4294967294" count="1" selected="0">
            <x v="1"/>
          </reference>
          <reference field="15" count="1" selected="0">
            <x v="2"/>
          </reference>
        </references>
      </pivotArea>
    </chartFormat>
    <chartFormat chart="41" format="6" series="1">
      <pivotArea type="data" outline="0" fieldPosition="0">
        <references count="1">
          <reference field="4294967294" count="1" selected="0">
            <x v="0"/>
          </reference>
        </references>
      </pivotArea>
    </chartFormat>
    <chartFormat chart="41" format="7">
      <pivotArea type="data" outline="0" fieldPosition="0">
        <references count="2">
          <reference field="4294967294" count="1" selected="0">
            <x v="0"/>
          </reference>
          <reference field="15" count="1" selected="0">
            <x v="5"/>
          </reference>
        </references>
      </pivotArea>
    </chartFormat>
    <chartFormat chart="47" format="12" series="1">
      <pivotArea type="data" outline="0" fieldPosition="0">
        <references count="1">
          <reference field="4294967294" count="1" selected="0">
            <x v="1"/>
          </reference>
        </references>
      </pivotArea>
    </chartFormat>
    <chartFormat chart="47" format="13">
      <pivotArea type="data" outline="0" fieldPosition="0">
        <references count="2">
          <reference field="4294967294" count="1" selected="0">
            <x v="1"/>
          </reference>
          <reference field="15" count="1" selected="0">
            <x v="2"/>
          </reference>
        </references>
      </pivotArea>
    </chartFormat>
    <chartFormat chart="47" format="14" series="1">
      <pivotArea type="data" outline="0" fieldPosition="0">
        <references count="1">
          <reference field="4294967294" count="1" selected="0">
            <x v="0"/>
          </reference>
        </references>
      </pivotArea>
    </chartFormat>
    <chartFormat chart="47" format="15">
      <pivotArea type="data" outline="0" fieldPosition="0">
        <references count="2">
          <reference field="4294967294" count="1" selected="0">
            <x v="0"/>
          </reference>
          <reference field="1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68C5DC-DC4D-408E-8DA1-C45F7267D50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21:B33" firstHeaderRow="1" firstDataRow="1" firstDataCol="1"/>
  <pivotFields count="16">
    <pivotField axis="axisRow" numFmtId="168" showAll="0">
      <items count="12">
        <item x="0"/>
        <item x="1"/>
        <item x="2"/>
        <item x="3"/>
        <item x="4"/>
        <item x="5"/>
        <item x="6"/>
        <item x="7"/>
        <item x="8"/>
        <item x="9"/>
        <item x="10"/>
        <item t="default"/>
      </items>
    </pivotField>
    <pivotField numFmtId="165" showAll="0"/>
    <pivotField numFmtId="165" showAll="0"/>
    <pivotField numFmtId="165" showAll="0"/>
    <pivotField dataField="1" numFmtId="166" showAll="0"/>
    <pivotField numFmtId="3" showAll="0"/>
    <pivotField showAll="0"/>
    <pivotField showAll="0"/>
    <pivotField numFmtId="167" showAll="0"/>
    <pivotField numFmtId="166" showAll="0"/>
    <pivotField numFmtId="167" showAll="0"/>
    <pivotField showAll="0"/>
    <pivotField numFmtId="166"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4">
        <item sd="0" x="0"/>
        <item sd="0" x="1"/>
        <item sd="0" x="2"/>
        <item sd="0" x="3"/>
        <item sd="0" x="4"/>
        <item sd="0" x="5"/>
        <item sd="0" x="6"/>
        <item sd="0" x="7"/>
        <item sd="0" x="8"/>
        <item sd="0" x="9"/>
        <item sd="0" x="10"/>
        <item sd="0" x="11"/>
        <item sd="0" x="12"/>
        <item t="default"/>
      </items>
    </pivotField>
  </pivotFields>
  <rowFields count="4">
    <field x="15"/>
    <field x="14"/>
    <field x="13"/>
    <field x="0"/>
  </rowFields>
  <rowItems count="12">
    <i>
      <x v="1"/>
    </i>
    <i>
      <x v="2"/>
    </i>
    <i>
      <x v="3"/>
    </i>
    <i>
      <x v="4"/>
    </i>
    <i>
      <x v="5"/>
    </i>
    <i>
      <x v="6"/>
    </i>
    <i>
      <x v="7"/>
    </i>
    <i>
      <x v="8"/>
    </i>
    <i>
      <x v="9"/>
    </i>
    <i>
      <x v="10"/>
    </i>
    <i>
      <x v="11"/>
    </i>
    <i t="grand">
      <x/>
    </i>
  </rowItems>
  <colItems count="1">
    <i/>
  </colItems>
  <dataFields count="1">
    <dataField name="Sum of OPM %" fld="4" baseField="0" baseItem="0" numFmtId="166"/>
  </dataFields>
  <chartFormats count="5">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5" count="1" selected="0">
            <x v="7"/>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15" count="1" selected="0">
            <x v="7"/>
          </reference>
        </references>
      </pivotArea>
    </chartFormat>
    <chartFormat chart="12" format="6">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B1FF8C-F546-4605-B1A0-E2A9BBBC26A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15" firstHeaderRow="0" firstDataRow="1" firstDataCol="1"/>
  <pivotFields count="16">
    <pivotField axis="axisRow" numFmtId="168" showAll="0">
      <items count="12">
        <item x="0"/>
        <item x="1"/>
        <item x="2"/>
        <item x="3"/>
        <item x="4"/>
        <item x="5"/>
        <item x="6"/>
        <item x="7"/>
        <item x="8"/>
        <item x="9"/>
        <item x="10"/>
        <item t="default"/>
      </items>
    </pivotField>
    <pivotField dataField="1" numFmtId="165" showAll="0"/>
    <pivotField dataField="1" numFmtId="165" showAll="0"/>
    <pivotField numFmtId="165" showAll="0"/>
    <pivotField numFmtId="166" showAll="0"/>
    <pivotField numFmtId="3" showAll="0"/>
    <pivotField showAll="0"/>
    <pivotField showAll="0"/>
    <pivotField numFmtId="167" showAll="0"/>
    <pivotField numFmtId="166" showAll="0"/>
    <pivotField numFmtId="167" showAll="0"/>
    <pivotField showAll="0"/>
    <pivotField numFmtId="166"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4">
        <item sd="0" x="0"/>
        <item sd="0" x="1"/>
        <item sd="0" x="2"/>
        <item sd="0" x="3"/>
        <item sd="0" x="4"/>
        <item sd="0" x="5"/>
        <item sd="0" x="6"/>
        <item sd="0" x="7"/>
        <item sd="0" x="8"/>
        <item sd="0" x="9"/>
        <item sd="0" x="10"/>
        <item sd="0" x="11"/>
        <item sd="0" x="12"/>
        <item t="default"/>
      </items>
    </pivotField>
  </pivotFields>
  <rowFields count="4">
    <field x="15"/>
    <field x="14"/>
    <field x="13"/>
    <field x="0"/>
  </rowFields>
  <rowItems count="12">
    <i>
      <x v="1"/>
    </i>
    <i>
      <x v="2"/>
    </i>
    <i>
      <x v="3"/>
    </i>
    <i>
      <x v="4"/>
    </i>
    <i>
      <x v="5"/>
    </i>
    <i>
      <x v="6"/>
    </i>
    <i>
      <x v="7"/>
    </i>
    <i>
      <x v="8"/>
    </i>
    <i>
      <x v="9"/>
    </i>
    <i>
      <x v="10"/>
    </i>
    <i>
      <x v="11"/>
    </i>
    <i t="grand">
      <x/>
    </i>
  </rowItems>
  <colFields count="1">
    <field x="-2"/>
  </colFields>
  <colItems count="2">
    <i>
      <x/>
    </i>
    <i i="1">
      <x v="1"/>
    </i>
  </colItems>
  <dataFields count="2">
    <dataField name="Expenses " fld="2" baseField="15" baseItem="1" numFmtId="165"/>
    <dataField name="Sales " fld="1" baseField="15" baseItem="1" numFmtId="165"/>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EAAAE2-A64D-4C52-AE3F-EF1C044FF66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72:B84" firstHeaderRow="1" firstDataRow="1" firstDataCol="1"/>
  <pivotFields count="16">
    <pivotField axis="axisRow" numFmtId="168" showAll="0">
      <items count="12">
        <item x="0"/>
        <item x="1"/>
        <item x="2"/>
        <item x="3"/>
        <item x="4"/>
        <item x="5"/>
        <item x="6"/>
        <item x="7"/>
        <item x="8"/>
        <item x="9"/>
        <item x="10"/>
        <item t="default"/>
      </items>
    </pivotField>
    <pivotField numFmtId="165" showAll="0"/>
    <pivotField numFmtId="165" showAll="0"/>
    <pivotField numFmtId="165" showAll="0"/>
    <pivotField numFmtId="166" showAll="0"/>
    <pivotField dataField="1" numFmtId="3" showAll="0"/>
    <pivotField showAll="0"/>
    <pivotField showAll="0"/>
    <pivotField numFmtId="167" showAll="0"/>
    <pivotField numFmtId="166" showAll="0"/>
    <pivotField numFmtId="167" showAll="0"/>
    <pivotField showAll="0"/>
    <pivotField numFmtId="166"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4">
        <item sd="0" x="0"/>
        <item sd="0" x="1"/>
        <item sd="0" x="2"/>
        <item sd="0" x="3"/>
        <item sd="0" x="4"/>
        <item sd="0" x="5"/>
        <item sd="0" x="6"/>
        <item sd="0" x="7"/>
        <item sd="0" x="8"/>
        <item sd="0" x="9"/>
        <item sd="0" x="10"/>
        <item sd="0" x="11"/>
        <item sd="0" x="12"/>
        <item t="default"/>
      </items>
    </pivotField>
  </pivotFields>
  <rowFields count="4">
    <field x="15"/>
    <field x="14"/>
    <field x="13"/>
    <field x="0"/>
  </rowFields>
  <rowItems count="12">
    <i>
      <x v="1"/>
    </i>
    <i>
      <x v="2"/>
    </i>
    <i>
      <x v="3"/>
    </i>
    <i>
      <x v="4"/>
    </i>
    <i>
      <x v="5"/>
    </i>
    <i>
      <x v="6"/>
    </i>
    <i>
      <x v="7"/>
    </i>
    <i>
      <x v="8"/>
    </i>
    <i>
      <x v="9"/>
    </i>
    <i>
      <x v="10"/>
    </i>
    <i>
      <x v="11"/>
    </i>
    <i t="grand">
      <x/>
    </i>
  </rowItems>
  <colItems count="1">
    <i/>
  </colItems>
  <dataFields count="1">
    <dataField name="Sum of Other Income +" fld="5" baseField="0" baseItem="0" numFmtId="3"/>
  </dataFields>
  <chartFormats count="5">
    <chartFormat chart="18"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pivotArea type="data" outline="0" fieldPosition="0">
        <references count="2">
          <reference field="4294967294" count="1" selected="0">
            <x v="0"/>
          </reference>
          <reference field="1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878487-A253-463E-8C5F-FF8DE504093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55:B67" firstHeaderRow="1" firstDataRow="1" firstDataCol="1"/>
  <pivotFields count="16">
    <pivotField axis="axisRow" numFmtId="168" showAll="0">
      <items count="12">
        <item x="0"/>
        <item x="1"/>
        <item x="2"/>
        <item x="3"/>
        <item x="4"/>
        <item x="5"/>
        <item x="6"/>
        <item x="7"/>
        <item x="8"/>
        <item x="9"/>
        <item x="10"/>
        <item t="default"/>
      </items>
    </pivotField>
    <pivotField numFmtId="165" showAll="0"/>
    <pivotField numFmtId="165" showAll="0"/>
    <pivotField numFmtId="165" showAll="0"/>
    <pivotField numFmtId="166" showAll="0"/>
    <pivotField numFmtId="3" showAll="0"/>
    <pivotField showAll="0"/>
    <pivotField showAll="0"/>
    <pivotField numFmtId="167" showAll="0"/>
    <pivotField dataField="1" numFmtId="166" showAll="0"/>
    <pivotField numFmtId="167" showAll="0"/>
    <pivotField showAll="0"/>
    <pivotField numFmtId="166"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4">
        <item sd="0" x="0"/>
        <item sd="0" x="1"/>
        <item sd="0" x="2"/>
        <item sd="0" x="3"/>
        <item sd="0" x="4"/>
        <item sd="0" x="5"/>
        <item sd="0" x="6"/>
        <item sd="0" x="7"/>
        <item sd="0" x="8"/>
        <item sd="0" x="9"/>
        <item sd="0" x="10"/>
        <item sd="0" x="11"/>
        <item sd="0" x="12"/>
        <item t="default"/>
      </items>
    </pivotField>
  </pivotFields>
  <rowFields count="4">
    <field x="15"/>
    <field x="14"/>
    <field x="13"/>
    <field x="0"/>
  </rowFields>
  <rowItems count="12">
    <i>
      <x v="1"/>
    </i>
    <i>
      <x v="2"/>
    </i>
    <i>
      <x v="3"/>
    </i>
    <i>
      <x v="4"/>
    </i>
    <i>
      <x v="5"/>
    </i>
    <i>
      <x v="6"/>
    </i>
    <i>
      <x v="7"/>
    </i>
    <i>
      <x v="8"/>
    </i>
    <i>
      <x v="9"/>
    </i>
    <i>
      <x v="10"/>
    </i>
    <i>
      <x v="11"/>
    </i>
    <i t="grand">
      <x/>
    </i>
  </rowItems>
  <colItems count="1">
    <i/>
  </colItems>
  <dataFields count="1">
    <dataField name="Sum of Tax %" fld="9" baseField="0" baseItem="0" numFmtId="166"/>
  </dataFields>
  <chartFormats count="5">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15"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15" count="1" selected="0">
            <x v="1"/>
          </reference>
        </references>
      </pivotArea>
    </chartFormat>
    <chartFormat chart="20" format="6">
      <pivotArea type="data" outline="0" fieldPosition="0">
        <references count="2">
          <reference field="4294967294" count="1" selected="0">
            <x v="0"/>
          </reference>
          <reference field="1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30FA52-3D4D-47C9-9E04-4214BD04FDB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104:C110" firstHeaderRow="0" firstDataRow="1" firstDataCol="1"/>
  <pivotFields count="16">
    <pivotField axis="axisRow" numFmtId="168" showAll="0">
      <items count="12">
        <item x="0"/>
        <item x="1"/>
        <item x="2"/>
        <item x="3"/>
        <item x="4"/>
        <item x="5"/>
        <item x="6"/>
        <item x="7"/>
        <item x="8"/>
        <item x="9"/>
        <item x="10"/>
        <item t="default"/>
      </items>
    </pivotField>
    <pivotField dataField="1" numFmtId="165" showAll="0"/>
    <pivotField numFmtId="165" showAll="0"/>
    <pivotField numFmtId="165" showAll="0"/>
    <pivotField numFmtId="166" showAll="0"/>
    <pivotField numFmtId="3" showAll="0"/>
    <pivotField showAll="0"/>
    <pivotField showAll="0"/>
    <pivotField numFmtId="167" showAll="0"/>
    <pivotField numFmtId="166" showAll="0"/>
    <pivotField dataField="1" numFmtId="167" showAll="0"/>
    <pivotField showAll="0"/>
    <pivotField numFmtId="166"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measureFilter="1">
      <items count="14">
        <item sd="0" x="0"/>
        <item sd="0" x="1"/>
        <item sd="0" x="2"/>
        <item sd="0" x="3"/>
        <item sd="0" x="4"/>
        <item sd="0" x="5"/>
        <item sd="0" x="6"/>
        <item sd="0" x="7"/>
        <item sd="0" x="8"/>
        <item sd="0" x="9"/>
        <item sd="0" x="10"/>
        <item sd="0" x="11"/>
        <item sd="0" x="12"/>
        <item t="default"/>
      </items>
    </pivotField>
  </pivotFields>
  <rowFields count="4">
    <field x="15"/>
    <field x="14"/>
    <field x="13"/>
    <field x="0"/>
  </rowFields>
  <rowItems count="6">
    <i>
      <x v="6"/>
    </i>
    <i>
      <x v="8"/>
    </i>
    <i>
      <x v="9"/>
    </i>
    <i>
      <x v="10"/>
    </i>
    <i>
      <x v="11"/>
    </i>
    <i t="grand">
      <x/>
    </i>
  </rowItems>
  <colFields count="1">
    <field x="-2"/>
  </colFields>
  <colItems count="2">
    <i>
      <x/>
    </i>
    <i i="1">
      <x v="1"/>
    </i>
  </colItems>
  <dataFields count="2">
    <dataField name="Revenue" fld="1" baseField="15" baseItem="6" numFmtId="165"/>
    <dataField name="Profit" fld="10" baseField="15" baseItem="6" numFmtId="167"/>
  </dataFields>
  <chartFormats count="21">
    <chartFormat chart="20" format="0"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1"/>
          </reference>
        </references>
      </pivotArea>
    </chartFormat>
    <chartFormat chart="20" format="4">
      <pivotArea type="data" outline="0" fieldPosition="0">
        <references count="2">
          <reference field="4294967294" count="1" selected="0">
            <x v="1"/>
          </reference>
          <reference field="15" count="1" selected="0">
            <x v="11"/>
          </reference>
        </references>
      </pivotArea>
    </chartFormat>
    <chartFormat chart="20" format="5">
      <pivotArea type="data" outline="0" fieldPosition="0">
        <references count="2">
          <reference field="4294967294" count="1" selected="0">
            <x v="1"/>
          </reference>
          <reference field="15" count="1" selected="0">
            <x v="9"/>
          </reference>
        </references>
      </pivotArea>
    </chartFormat>
    <chartFormat chart="20" format="6">
      <pivotArea type="data" outline="0" fieldPosition="0">
        <references count="2">
          <reference field="4294967294" count="1" selected="0">
            <x v="1"/>
          </reference>
          <reference field="15" count="1" selected="0">
            <x v="10"/>
          </reference>
        </references>
      </pivotArea>
    </chartFormat>
    <chartFormat chart="20" format="7">
      <pivotArea type="data" outline="0" fieldPosition="0">
        <references count="2">
          <reference field="4294967294" count="1" selected="0">
            <x v="1"/>
          </reference>
          <reference field="15" count="1" selected="0">
            <x v="8"/>
          </reference>
        </references>
      </pivotArea>
    </chartFormat>
    <chartFormat chart="20" format="8">
      <pivotArea type="data" outline="0" fieldPosition="0">
        <references count="2">
          <reference field="4294967294" count="1" selected="0">
            <x v="1"/>
          </reference>
          <reference field="15" count="1" selected="0">
            <x v="6"/>
          </reference>
        </references>
      </pivotArea>
    </chartFormat>
    <chartFormat chart="21" format="9" series="1">
      <pivotArea type="data" outline="0" fieldPosition="0">
        <references count="1">
          <reference field="4294967294" count="1" selected="0">
            <x v="0"/>
          </reference>
        </references>
      </pivotArea>
    </chartFormat>
    <chartFormat chart="21" format="10" series="1">
      <pivotArea type="data" outline="0" fieldPosition="0">
        <references count="1">
          <reference field="4294967294" count="1" selected="0">
            <x v="1"/>
          </reference>
        </references>
      </pivotArea>
    </chartFormat>
    <chartFormat chart="21" format="11">
      <pivotArea type="data" outline="0" fieldPosition="0">
        <references count="2">
          <reference field="4294967294" count="1" selected="0">
            <x v="1"/>
          </reference>
          <reference field="15" count="1" selected="0">
            <x v="6"/>
          </reference>
        </references>
      </pivotArea>
    </chartFormat>
    <chartFormat chart="21" format="12">
      <pivotArea type="data" outline="0" fieldPosition="0">
        <references count="2">
          <reference field="4294967294" count="1" selected="0">
            <x v="1"/>
          </reference>
          <reference field="15" count="1" selected="0">
            <x v="8"/>
          </reference>
        </references>
      </pivotArea>
    </chartFormat>
    <chartFormat chart="21" format="13">
      <pivotArea type="data" outline="0" fieldPosition="0">
        <references count="2">
          <reference field="4294967294" count="1" selected="0">
            <x v="1"/>
          </reference>
          <reference field="15" count="1" selected="0">
            <x v="9"/>
          </reference>
        </references>
      </pivotArea>
    </chartFormat>
    <chartFormat chart="21" format="14">
      <pivotArea type="data" outline="0" fieldPosition="0">
        <references count="2">
          <reference field="4294967294" count="1" selected="0">
            <x v="1"/>
          </reference>
          <reference field="15" count="1" selected="0">
            <x v="10"/>
          </reference>
        </references>
      </pivotArea>
    </chartFormat>
    <chartFormat chart="21" format="15">
      <pivotArea type="data" outline="0" fieldPosition="0">
        <references count="2">
          <reference field="4294967294" count="1" selected="0">
            <x v="1"/>
          </reference>
          <reference field="15" count="1" selected="0">
            <x v="11"/>
          </reference>
        </references>
      </pivotArea>
    </chartFormat>
    <chartFormat chart="26" format="16" series="1">
      <pivotArea type="data" outline="0" fieldPosition="0">
        <references count="1">
          <reference field="4294967294" count="1" selected="0">
            <x v="0"/>
          </reference>
        </references>
      </pivotArea>
    </chartFormat>
    <chartFormat chart="26" format="17" series="1">
      <pivotArea type="data" outline="0" fieldPosition="0">
        <references count="1">
          <reference field="4294967294" count="1" selected="0">
            <x v="1"/>
          </reference>
        </references>
      </pivotArea>
    </chartFormat>
    <chartFormat chart="26" format="18">
      <pivotArea type="data" outline="0" fieldPosition="0">
        <references count="2">
          <reference field="4294967294" count="1" selected="0">
            <x v="1"/>
          </reference>
          <reference field="15" count="1" selected="0">
            <x v="6"/>
          </reference>
        </references>
      </pivotArea>
    </chartFormat>
    <chartFormat chart="26" format="19">
      <pivotArea type="data" outline="0" fieldPosition="0">
        <references count="2">
          <reference field="4294967294" count="1" selected="0">
            <x v="1"/>
          </reference>
          <reference field="15" count="1" selected="0">
            <x v="8"/>
          </reference>
        </references>
      </pivotArea>
    </chartFormat>
    <chartFormat chart="26" format="20">
      <pivotArea type="data" outline="0" fieldPosition="0">
        <references count="2">
          <reference field="4294967294" count="1" selected="0">
            <x v="1"/>
          </reference>
          <reference field="15" count="1" selected="0">
            <x v="9"/>
          </reference>
        </references>
      </pivotArea>
    </chartFormat>
    <chartFormat chart="26" format="21">
      <pivotArea type="data" outline="0" fieldPosition="0">
        <references count="2">
          <reference field="4294967294" count="1" selected="0">
            <x v="1"/>
          </reference>
          <reference field="15" count="1" selected="0">
            <x v="10"/>
          </reference>
        </references>
      </pivotArea>
    </chartFormat>
    <chartFormat chart="26" format="22">
      <pivotArea type="data" outline="0" fieldPosition="0">
        <references count="2">
          <reference field="4294967294" count="1" selected="0">
            <x v="1"/>
          </reference>
          <reference field="15" count="1" selected="0">
            <x v="11"/>
          </reference>
        </references>
      </pivotArea>
    </chartFormat>
  </chartFormats>
  <pivotTableStyleInfo name="PivotStyleLight16" showRowHeaders="1" showColHeaders="1" showRowStripes="0" showColStripes="0" showLastColumn="1"/>
  <filters count="1">
    <filter fld="1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38F821-B7A9-4CF0-B30D-BDDCDFFC74A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8:B50" firstHeaderRow="1" firstDataRow="1" firstDataCol="1"/>
  <pivotFields count="16">
    <pivotField axis="axisRow" numFmtId="168" showAll="0">
      <items count="12">
        <item x="0"/>
        <item x="1"/>
        <item x="2"/>
        <item x="3"/>
        <item x="4"/>
        <item x="5"/>
        <item x="6"/>
        <item x="7"/>
        <item x="8"/>
        <item x="9"/>
        <item x="10"/>
        <item t="default"/>
      </items>
    </pivotField>
    <pivotField numFmtId="165" showAll="0"/>
    <pivotField numFmtId="165" showAll="0"/>
    <pivotField numFmtId="165" showAll="0"/>
    <pivotField numFmtId="166" showAll="0"/>
    <pivotField numFmtId="3" showAll="0"/>
    <pivotField showAll="0"/>
    <pivotField showAll="0"/>
    <pivotField numFmtId="167" showAll="0"/>
    <pivotField numFmtId="166" showAll="0"/>
    <pivotField dataField="1" numFmtId="167" showAll="0"/>
    <pivotField showAll="0"/>
    <pivotField numFmtId="166"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4">
        <item sd="0" x="0"/>
        <item sd="0" x="1"/>
        <item sd="0" x="2"/>
        <item sd="0" x="3"/>
        <item sd="0" x="4"/>
        <item sd="0" x="5"/>
        <item sd="0" x="6"/>
        <item sd="0" x="7"/>
        <item sd="0" x="8"/>
        <item sd="0" x="9"/>
        <item sd="0" x="10"/>
        <item sd="0" x="11"/>
        <item sd="0" x="12"/>
        <item t="default"/>
      </items>
    </pivotField>
  </pivotFields>
  <rowFields count="4">
    <field x="15"/>
    <field x="14"/>
    <field x="13"/>
    <field x="0"/>
  </rowFields>
  <rowItems count="12">
    <i>
      <x v="1"/>
    </i>
    <i>
      <x v="2"/>
    </i>
    <i>
      <x v="3"/>
    </i>
    <i>
      <x v="4"/>
    </i>
    <i>
      <x v="5"/>
    </i>
    <i>
      <x v="6"/>
    </i>
    <i>
      <x v="7"/>
    </i>
    <i>
      <x v="8"/>
    </i>
    <i>
      <x v="9"/>
    </i>
    <i>
      <x v="10"/>
    </i>
    <i>
      <x v="11"/>
    </i>
    <i t="grand">
      <x/>
    </i>
  </rowItems>
  <colItems count="1">
    <i/>
  </colItems>
  <dataFields count="1">
    <dataField name="Sum of Net Profit +" fld="10" baseField="0" baseItem="0" numFmtId="167"/>
  </dataFields>
  <chartFormats count="2">
    <chartFormat chart="14"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F1DCD24-F097-4D3F-B820-A1575E3D240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pivotFields count="16">
    <pivotField axis="axisRow" numFmtId="168" showAll="0">
      <items count="12">
        <item x="0"/>
        <item x="1"/>
        <item x="2"/>
        <item x="3"/>
        <item x="4"/>
        <item x="5"/>
        <item x="6"/>
        <item x="7"/>
        <item x="8"/>
        <item x="9"/>
        <item x="10"/>
        <item t="default"/>
      </items>
    </pivotField>
    <pivotField dataField="1" numFmtId="165" showAll="0"/>
    <pivotField numFmtId="165" showAll="0"/>
    <pivotField numFmtId="165" showAll="0"/>
    <pivotField numFmtId="166" showAll="0"/>
    <pivotField numFmtId="3" showAll="0"/>
    <pivotField showAll="0"/>
    <pivotField showAll="0"/>
    <pivotField numFmtId="167" showAll="0"/>
    <pivotField numFmtId="166" showAll="0"/>
    <pivotField numFmtId="167" showAll="0"/>
    <pivotField showAll="0"/>
    <pivotField numFmtId="166"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13">
        <item sd="0" x="0"/>
        <item sd="0" x="1"/>
        <item sd="0" x="2"/>
        <item sd="0" x="3"/>
        <item sd="0" x="4"/>
        <item sd="0" x="5"/>
        <item sd="0" x="6"/>
        <item sd="0" x="7"/>
        <item sd="0" x="8"/>
        <item sd="0" x="9"/>
        <item sd="0" x="10"/>
        <item sd="0" x="11"/>
        <item sd="0" x="12"/>
      </items>
    </pivotField>
  </pivotFields>
  <rowFields count="4">
    <field x="15"/>
    <field x="14"/>
    <field x="13"/>
    <field x="0"/>
  </rowFields>
  <rowItems count="12">
    <i>
      <x v="1"/>
    </i>
    <i>
      <x v="2"/>
    </i>
    <i>
      <x v="3"/>
    </i>
    <i>
      <x v="4"/>
    </i>
    <i>
      <x v="5"/>
    </i>
    <i>
      <x v="6"/>
    </i>
    <i>
      <x v="7"/>
    </i>
    <i>
      <x v="8"/>
    </i>
    <i>
      <x v="9"/>
    </i>
    <i>
      <x v="10"/>
    </i>
    <i>
      <x v="11"/>
    </i>
    <i t="grand">
      <x/>
    </i>
  </rowItems>
  <colItems count="1">
    <i/>
  </colItems>
  <dataFields count="1">
    <dataField name="Sum of Sales +" fld="1"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CEEE0EB-7E86-4D92-9191-4BB98415BC4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15" firstHeaderRow="1" firstDataRow="1" firstDataCol="1"/>
  <pivotFields count="16">
    <pivotField axis="axisRow" numFmtId="168" showAll="0">
      <items count="12">
        <item x="0"/>
        <item x="1"/>
        <item x="2"/>
        <item x="3"/>
        <item x="4"/>
        <item x="5"/>
        <item x="6"/>
        <item x="7"/>
        <item x="8"/>
        <item x="9"/>
        <item x="10"/>
        <item t="default"/>
      </items>
    </pivotField>
    <pivotField numFmtId="165" showAll="0"/>
    <pivotField numFmtId="165" showAll="0"/>
    <pivotField numFmtId="165" showAll="0"/>
    <pivotField numFmtId="166" showAll="0"/>
    <pivotField dataField="1" numFmtId="3" showAll="0"/>
    <pivotField showAll="0"/>
    <pivotField showAll="0"/>
    <pivotField numFmtId="167" showAll="0"/>
    <pivotField numFmtId="166" showAll="0"/>
    <pivotField numFmtId="167" showAll="0"/>
    <pivotField showAll="0"/>
    <pivotField numFmtId="166"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13">
        <item sd="0" x="0"/>
        <item sd="0" x="1"/>
        <item sd="0" x="2"/>
        <item sd="0" x="3"/>
        <item sd="0" x="4"/>
        <item sd="0" x="5"/>
        <item sd="0" x="6"/>
        <item sd="0" x="7"/>
        <item sd="0" x="8"/>
        <item sd="0" x="9"/>
        <item sd="0" x="10"/>
        <item sd="0" x="11"/>
        <item sd="0" x="12"/>
      </items>
    </pivotField>
  </pivotFields>
  <rowFields count="4">
    <field x="15"/>
    <field x="14"/>
    <field x="13"/>
    <field x="0"/>
  </rowFields>
  <rowItems count="12">
    <i>
      <x v="1"/>
    </i>
    <i>
      <x v="2"/>
    </i>
    <i>
      <x v="3"/>
    </i>
    <i>
      <x v="4"/>
    </i>
    <i>
      <x v="5"/>
    </i>
    <i>
      <x v="6"/>
    </i>
    <i>
      <x v="7"/>
    </i>
    <i>
      <x v="8"/>
    </i>
    <i>
      <x v="9"/>
    </i>
    <i>
      <x v="10"/>
    </i>
    <i>
      <x v="11"/>
    </i>
    <i t="grand">
      <x/>
    </i>
  </rowItems>
  <colItems count="1">
    <i/>
  </colItems>
  <dataFields count="1">
    <dataField name="Sum of Other Income +" fld="5"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10E9048-FECB-4241-BAD3-5A91644F569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5" firstHeaderRow="1" firstDataRow="1" firstDataCol="1"/>
  <pivotFields count="16">
    <pivotField axis="axisRow" numFmtId="168" showAll="0">
      <items count="12">
        <item x="0"/>
        <item x="1"/>
        <item x="2"/>
        <item x="3"/>
        <item x="4"/>
        <item x="5"/>
        <item x="6"/>
        <item x="7"/>
        <item x="8"/>
        <item x="9"/>
        <item x="10"/>
        <item t="default"/>
      </items>
    </pivotField>
    <pivotField numFmtId="165" showAll="0"/>
    <pivotField numFmtId="165" showAll="0"/>
    <pivotField numFmtId="165" showAll="0"/>
    <pivotField numFmtId="166" showAll="0"/>
    <pivotField numFmtId="3" showAll="0"/>
    <pivotField showAll="0"/>
    <pivotField showAll="0"/>
    <pivotField numFmtId="167" showAll="0"/>
    <pivotField numFmtId="166" showAll="0"/>
    <pivotField dataField="1" numFmtId="167" showAll="0"/>
    <pivotField showAll="0"/>
    <pivotField numFmtId="166"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measureFilter="1" defaultSubtotal="0">
      <items count="13">
        <item sd="0" x="0"/>
        <item sd="0" x="1"/>
        <item sd="0" x="2"/>
        <item sd="0" x="3"/>
        <item sd="0" x="4"/>
        <item sd="0" x="5"/>
        <item sd="0" x="6"/>
        <item sd="0" x="7"/>
        <item sd="0" x="8"/>
        <item sd="0" x="9"/>
        <item sd="0" x="10"/>
        <item sd="0" x="11"/>
        <item sd="0" x="12"/>
      </items>
    </pivotField>
  </pivotFields>
  <rowFields count="4">
    <field x="15"/>
    <field x="14"/>
    <field x="13"/>
    <field x="0"/>
  </rowFields>
  <rowItems count="2">
    <i>
      <x v="11"/>
    </i>
    <i t="grand">
      <x/>
    </i>
  </rowItems>
  <colItems count="1">
    <i/>
  </colItems>
  <dataFields count="1">
    <dataField name="Sum of Net Profit +" fld="10" baseField="0" baseItem="0" numFmtId="167"/>
  </dataFields>
  <pivotTableStyleInfo name="PivotStyleLight16" showRowHeaders="1" showColHeaders="1" showRowStripes="0" showColStripes="0" showLastColumn="1"/>
  <filters count="1">
    <filter fld="15"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1392026-6583-4475-BFFF-B24D1E7C3AB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5" firstHeaderRow="1" firstDataRow="1" firstDataCol="1"/>
  <pivotFields count="16">
    <pivotField axis="axisRow" numFmtId="168" showAll="0">
      <items count="12">
        <item x="0"/>
        <item x="1"/>
        <item x="2"/>
        <item x="3"/>
        <item x="4"/>
        <item x="5"/>
        <item x="6"/>
        <item x="7"/>
        <item x="8"/>
        <item x="9"/>
        <item x="10"/>
        <item t="default"/>
      </items>
    </pivotField>
    <pivotField numFmtId="165" showAll="0"/>
    <pivotField dataField="1" numFmtId="165" showAll="0"/>
    <pivotField numFmtId="165" showAll="0"/>
    <pivotField numFmtId="166" showAll="0"/>
    <pivotField numFmtId="3" showAll="0"/>
    <pivotField showAll="0"/>
    <pivotField showAll="0"/>
    <pivotField numFmtId="167" showAll="0"/>
    <pivotField numFmtId="166" showAll="0"/>
    <pivotField numFmtId="167" showAll="0"/>
    <pivotField showAll="0"/>
    <pivotField numFmtId="166"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13">
        <item sd="0" x="0"/>
        <item sd="0" x="1"/>
        <item sd="0" x="2"/>
        <item sd="0" x="3"/>
        <item sd="0" x="4"/>
        <item sd="0" x="5"/>
        <item sd="0" x="6"/>
        <item sd="0" x="7"/>
        <item sd="0" x="8"/>
        <item sd="0" x="9"/>
        <item sd="0" x="10"/>
        <item sd="0" x="11"/>
        <item sd="0" x="12"/>
      </items>
    </pivotField>
  </pivotFields>
  <rowFields count="4">
    <field x="15"/>
    <field x="14"/>
    <field x="13"/>
    <field x="0"/>
  </rowFields>
  <rowItems count="12">
    <i>
      <x v="1"/>
    </i>
    <i>
      <x v="2"/>
    </i>
    <i>
      <x v="3"/>
    </i>
    <i>
      <x v="4"/>
    </i>
    <i>
      <x v="5"/>
    </i>
    <i>
      <x v="6"/>
    </i>
    <i>
      <x v="7"/>
    </i>
    <i>
      <x v="8"/>
    </i>
    <i>
      <x v="9"/>
    </i>
    <i>
      <x v="10"/>
    </i>
    <i>
      <x v="11"/>
    </i>
    <i t="grand">
      <x/>
    </i>
  </rowItems>
  <colItems count="1">
    <i/>
  </colItems>
  <dataFields count="1">
    <dataField name="Sum of Expenses +" fld="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B41FF3B-CB10-4714-A686-9518D619EB65}" autoFormatId="16" applyNumberFormats="0" applyBorderFormats="0" applyFontFormats="0" applyPatternFormats="0" applyAlignmentFormats="0" applyWidthHeightFormats="0">
  <queryTableRefresh nextId="14" unboundColumnsLeft="1">
    <queryTableFields count="13">
      <queryTableField id="13" dataBound="0" tableColumnId="13"/>
      <queryTableField id="1" name="Sales +" tableColumnId="1"/>
      <queryTableField id="2" name="Expenses +" tableColumnId="2"/>
      <queryTableField id="3" name="Operating Profit" tableColumnId="3"/>
      <queryTableField id="4" name="OPM %" tableColumnId="4"/>
      <queryTableField id="5" name="Other Income +" tableColumnId="5"/>
      <queryTableField id="6" name="Interest" tableColumnId="6"/>
      <queryTableField id="7" name="Depreciation" tableColumnId="7"/>
      <queryTableField id="8" name="Profit before tax" tableColumnId="8"/>
      <queryTableField id="9" name="Tax %" tableColumnId="9"/>
      <queryTableField id="10" name="Net Profit +" tableColumnId="10"/>
      <queryTableField id="11" name="EPS in Rs" tableColumnId="11"/>
      <queryTableField id="12" name="Dividend Payout %" tableColumnId="12"/>
    </queryTableFields>
  </queryTableRefresh>
  <extLst>
    <ext xmlns:x15="http://schemas.microsoft.com/office/spreadsheetml/2010/11/main" uri="{883FBD77-0823-4a55-B5E3-86C4891E6966}">
      <x15:queryTable sourceDataName="Query - Table 2"/>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91F2AB2A-4CC3-4719-9E5C-04BB364B557C}" sourceName="YEARS">
  <pivotTables>
    <pivotTable tabId="5" name="PivotTable1"/>
    <pivotTable tabId="5" name="PivotTable2"/>
    <pivotTable tabId="5" name="PivotTable3"/>
    <pivotTable tabId="5" name="PivotTable4"/>
    <pivotTable tabId="5" name="PivotTable7"/>
    <pivotTable tabId="5" name="PivotTable8"/>
  </pivotTables>
  <data>
    <tabular pivotCacheId="65819944">
      <items count="11">
        <i x="0" s="1"/>
        <i x="1" s="1"/>
        <i x="2" s="1"/>
        <i x="3" s="1"/>
        <i x="4" s="1"/>
        <i x="5" s="1"/>
        <i x="6" s="1"/>
        <i x="7" s="1"/>
        <i x="8" s="1"/>
        <i x="9"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2" xr10:uid="{FD8A1CE5-1247-42BB-982E-166D0C5BB071}" cache="Slicer_YEARS" caption="Filter" startItem="4"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5BA86E1F-CC1A-4E19-A9D1-1CB442602902}" cache="Slicer_YEARS" caption="Filte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B4CC88-988C-4FCF-A7A5-2422866E12C7}" name="Table_2" displayName="Table_2" ref="A1:M12" tableType="queryTable" totalsRowShown="0">
  <autoFilter ref="A1:M12" xr:uid="{04B4CC88-988C-4FCF-A7A5-2422866E12C7}"/>
  <tableColumns count="13">
    <tableColumn id="13" xr3:uid="{261399F5-DF0F-4E9A-9D40-FD630B48EB1C}" uniqueName="13" name="YEARS" queryTableFieldId="13" dataDxfId="9"/>
    <tableColumn id="1" xr3:uid="{69DCAA29-5C10-474B-B891-ABD8BBA39FC1}" uniqueName="1" name="Sales +" queryTableFieldId="1" dataDxfId="8"/>
    <tableColumn id="2" xr3:uid="{9D5E4DED-B02A-4C01-9E8C-3EC506FD4BD9}" uniqueName="2" name="Expenses +" queryTableFieldId="2" dataDxfId="7"/>
    <tableColumn id="3" xr3:uid="{249171E8-8F70-4231-809D-B6471E365708}" uniqueName="3" name="Operating Profit" queryTableFieldId="3" dataDxfId="6"/>
    <tableColumn id="4" xr3:uid="{7932CCAB-A571-4F96-8CAF-0555BAC912EE}" uniqueName="4" name="OPM %" queryTableFieldId="4" dataDxfId="5"/>
    <tableColumn id="5" xr3:uid="{20EE6AD5-68B0-43E9-A6AF-6402DDAA119A}" uniqueName="5" name="Other Income +" queryTableFieldId="5" dataDxfId="4"/>
    <tableColumn id="6" xr3:uid="{4AA0261A-23E4-4684-8173-467DB783C98A}" uniqueName="6" name="Interest" queryTableFieldId="6"/>
    <tableColumn id="7" xr3:uid="{2C6188C2-021E-4143-B99C-EE4F0494E1D8}" uniqueName="7" name="Depreciation" queryTableFieldId="7"/>
    <tableColumn id="8" xr3:uid="{4A1C3E01-E694-4DBE-9CDC-F7F83AE20001}" uniqueName="8" name="Profit before tax" queryTableFieldId="8" dataDxfId="3"/>
    <tableColumn id="9" xr3:uid="{39F61B3F-76E0-402D-BDAA-2ABA1F7BB84F}" uniqueName="9" name="Tax %" queryTableFieldId="9" dataDxfId="2"/>
    <tableColumn id="10" xr3:uid="{5D425073-6346-41F6-85E4-E260F2A5E096}" uniqueName="10" name="Net Profit +" queryTableFieldId="10" dataDxfId="1"/>
    <tableColumn id="11" xr3:uid="{CB613512-13BA-44D9-9FB0-422528B9CF7E}" uniqueName="11" name="EPS in Rs" queryTableFieldId="11"/>
    <tableColumn id="12" xr3:uid="{3174AC46-CD54-489F-B843-0F940C34A77F}" uniqueName="12" name="Dividend Payout %"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microsoft.com/office/2007/relationships/slicer" Target="../slicers/slicer2.xml"/><Relationship Id="rId5" Type="http://schemas.openxmlformats.org/officeDocument/2006/relationships/drawing" Target="../drawings/drawing3.xml"/><Relationship Id="rId4"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27BDB-BDD2-40BC-9511-D9CB723B8661}">
  <dimension ref="A3:J157"/>
  <sheetViews>
    <sheetView zoomScaleNormal="100" workbookViewId="0">
      <selection activeCell="J158" sqref="J158"/>
    </sheetView>
  </sheetViews>
  <sheetFormatPr defaultRowHeight="14.4"/>
  <cols>
    <col min="1" max="1" width="12.5546875" bestFit="1" customWidth="1"/>
    <col min="2" max="2" width="10.77734375" bestFit="1" customWidth="1"/>
    <col min="3" max="3" width="7" bestFit="1" customWidth="1"/>
    <col min="5" max="5" width="13.44140625" customWidth="1"/>
    <col min="6" max="6" width="14.109375" customWidth="1"/>
    <col min="7" max="7" width="19.33203125" customWidth="1"/>
    <col min="8" max="8" width="12.33203125" customWidth="1"/>
  </cols>
  <sheetData>
    <row r="3" spans="1:3">
      <c r="A3" s="12" t="s">
        <v>13</v>
      </c>
      <c r="B3" t="s">
        <v>35</v>
      </c>
      <c r="C3" t="s">
        <v>36</v>
      </c>
    </row>
    <row r="4" spans="1:3">
      <c r="A4" s="13" t="s">
        <v>15</v>
      </c>
      <c r="B4" s="2">
        <v>907</v>
      </c>
      <c r="C4" s="2">
        <v>1059</v>
      </c>
    </row>
    <row r="5" spans="1:3">
      <c r="A5" s="13" t="s">
        <v>16</v>
      </c>
      <c r="B5" s="2">
        <v>1176</v>
      </c>
      <c r="C5" s="2">
        <v>1367</v>
      </c>
    </row>
    <row r="6" spans="1:3">
      <c r="A6" s="13" t="s">
        <v>17</v>
      </c>
      <c r="B6" s="2">
        <v>1206</v>
      </c>
      <c r="C6" s="2">
        <v>1520</v>
      </c>
    </row>
    <row r="7" spans="1:3">
      <c r="A7" s="13" t="s">
        <v>18</v>
      </c>
      <c r="B7" s="2">
        <v>1192</v>
      </c>
      <c r="C7" s="2">
        <v>1466</v>
      </c>
    </row>
    <row r="8" spans="1:3">
      <c r="A8" s="13" t="s">
        <v>19</v>
      </c>
      <c r="B8" s="2">
        <v>1487</v>
      </c>
      <c r="C8" s="2">
        <v>1870</v>
      </c>
    </row>
    <row r="9" spans="1:3">
      <c r="A9" s="13" t="s">
        <v>20</v>
      </c>
      <c r="B9" s="2">
        <v>1562</v>
      </c>
      <c r="C9" s="2">
        <v>2264</v>
      </c>
    </row>
    <row r="10" spans="1:3">
      <c r="A10" s="13" t="s">
        <v>21</v>
      </c>
      <c r="B10" s="2">
        <v>589</v>
      </c>
      <c r="C10" s="2">
        <v>777</v>
      </c>
    </row>
    <row r="11" spans="1:3">
      <c r="A11" s="13" t="s">
        <v>22</v>
      </c>
      <c r="B11" s="2">
        <v>1005</v>
      </c>
      <c r="C11" s="2">
        <v>1879</v>
      </c>
    </row>
    <row r="12" spans="1:3">
      <c r="A12" s="13" t="s">
        <v>23</v>
      </c>
      <c r="B12" s="2">
        <v>2265</v>
      </c>
      <c r="C12" s="2">
        <v>3541</v>
      </c>
    </row>
    <row r="13" spans="1:3">
      <c r="A13" s="13" t="s">
        <v>24</v>
      </c>
      <c r="B13" s="2">
        <v>2794</v>
      </c>
      <c r="C13" s="2">
        <v>4260</v>
      </c>
    </row>
    <row r="14" spans="1:3">
      <c r="A14" s="13" t="s">
        <v>25</v>
      </c>
      <c r="B14" s="2">
        <v>3124</v>
      </c>
      <c r="C14" s="2">
        <v>4675</v>
      </c>
    </row>
    <row r="15" spans="1:3">
      <c r="A15" s="13" t="s">
        <v>14</v>
      </c>
      <c r="B15" s="2">
        <v>17307</v>
      </c>
      <c r="C15" s="2">
        <v>24678</v>
      </c>
    </row>
    <row r="21" spans="1:2">
      <c r="A21" s="12" t="s">
        <v>13</v>
      </c>
      <c r="B21" t="s">
        <v>26</v>
      </c>
    </row>
    <row r="22" spans="1:2">
      <c r="A22" s="13" t="s">
        <v>15</v>
      </c>
      <c r="B22" s="3">
        <v>0.14000000000000001</v>
      </c>
    </row>
    <row r="23" spans="1:2">
      <c r="A23" s="13" t="s">
        <v>16</v>
      </c>
      <c r="B23" s="3">
        <v>0.14000000000000001</v>
      </c>
    </row>
    <row r="24" spans="1:2">
      <c r="A24" s="13" t="s">
        <v>17</v>
      </c>
      <c r="B24" s="3">
        <v>0.21</v>
      </c>
    </row>
    <row r="25" spans="1:2">
      <c r="A25" s="13" t="s">
        <v>18</v>
      </c>
      <c r="B25" s="3">
        <v>0.19</v>
      </c>
    </row>
    <row r="26" spans="1:2">
      <c r="A26" s="13" t="s">
        <v>19</v>
      </c>
      <c r="B26" s="3">
        <v>0.2</v>
      </c>
    </row>
    <row r="27" spans="1:2">
      <c r="A27" s="13" t="s">
        <v>20</v>
      </c>
      <c r="B27" s="3">
        <v>0.31</v>
      </c>
    </row>
    <row r="28" spans="1:2">
      <c r="A28" s="13" t="s">
        <v>21</v>
      </c>
      <c r="B28" s="3">
        <v>0.24</v>
      </c>
    </row>
    <row r="29" spans="1:2">
      <c r="A29" s="13" t="s">
        <v>22</v>
      </c>
      <c r="B29" s="3">
        <v>0.47</v>
      </c>
    </row>
    <row r="30" spans="1:2">
      <c r="A30" s="13" t="s">
        <v>23</v>
      </c>
      <c r="B30" s="3">
        <v>0.36</v>
      </c>
    </row>
    <row r="31" spans="1:2">
      <c r="A31" s="13" t="s">
        <v>24</v>
      </c>
      <c r="B31" s="3">
        <v>0.34</v>
      </c>
    </row>
    <row r="32" spans="1:2">
      <c r="A32" s="13" t="s">
        <v>25</v>
      </c>
      <c r="B32" s="3">
        <v>0.33</v>
      </c>
    </row>
    <row r="33" spans="1:2">
      <c r="A33" s="13" t="s">
        <v>14</v>
      </c>
      <c r="B33" s="3">
        <v>2.9299999999999997</v>
      </c>
    </row>
    <row r="38" spans="1:2">
      <c r="A38" s="12" t="s">
        <v>13</v>
      </c>
      <c r="B38" t="s">
        <v>27</v>
      </c>
    </row>
    <row r="39" spans="1:2">
      <c r="A39" s="13" t="s">
        <v>15</v>
      </c>
      <c r="B39" s="5">
        <v>131</v>
      </c>
    </row>
    <row r="40" spans="1:2">
      <c r="A40" s="13" t="s">
        <v>16</v>
      </c>
      <c r="B40" s="5">
        <v>189</v>
      </c>
    </row>
    <row r="41" spans="1:2">
      <c r="A41" s="13" t="s">
        <v>17</v>
      </c>
      <c r="B41" s="5">
        <v>229</v>
      </c>
    </row>
    <row r="42" spans="1:2">
      <c r="A42" s="13" t="s">
        <v>18</v>
      </c>
      <c r="B42" s="5">
        <v>221</v>
      </c>
    </row>
    <row r="43" spans="1:2">
      <c r="A43" s="13" t="s">
        <v>19</v>
      </c>
      <c r="B43" s="5">
        <v>309</v>
      </c>
    </row>
    <row r="44" spans="1:2">
      <c r="A44" s="13" t="s">
        <v>20</v>
      </c>
      <c r="B44" s="5">
        <v>513</v>
      </c>
    </row>
    <row r="45" spans="1:2">
      <c r="A45" s="13" t="s">
        <v>21</v>
      </c>
      <c r="B45" s="5">
        <v>187</v>
      </c>
    </row>
    <row r="46" spans="1:2">
      <c r="A46" s="13" t="s">
        <v>22</v>
      </c>
      <c r="B46" s="5">
        <v>660</v>
      </c>
    </row>
    <row r="47" spans="1:2">
      <c r="A47" s="13" t="s">
        <v>23</v>
      </c>
      <c r="B47" s="5">
        <v>1006</v>
      </c>
    </row>
    <row r="48" spans="1:2">
      <c r="A48" s="13" t="s">
        <v>24</v>
      </c>
      <c r="B48" s="5">
        <v>1111</v>
      </c>
    </row>
    <row r="49" spans="1:2">
      <c r="A49" s="13" t="s">
        <v>25</v>
      </c>
      <c r="B49" s="5">
        <v>1315</v>
      </c>
    </row>
    <row r="50" spans="1:2">
      <c r="A50" s="13" t="s">
        <v>14</v>
      </c>
      <c r="B50" s="5">
        <v>5871</v>
      </c>
    </row>
    <row r="55" spans="1:2">
      <c r="A55" s="12" t="s">
        <v>13</v>
      </c>
      <c r="B55" t="s">
        <v>28</v>
      </c>
    </row>
    <row r="56" spans="1:2">
      <c r="A56" s="13" t="s">
        <v>15</v>
      </c>
      <c r="B56" s="3">
        <v>0.39</v>
      </c>
    </row>
    <row r="57" spans="1:2">
      <c r="A57" s="13" t="s">
        <v>16</v>
      </c>
      <c r="B57" s="3">
        <v>0.39</v>
      </c>
    </row>
    <row r="58" spans="1:2">
      <c r="A58" s="13" t="s">
        <v>17</v>
      </c>
      <c r="B58" s="3">
        <v>0.35</v>
      </c>
    </row>
    <row r="59" spans="1:2">
      <c r="A59" s="13" t="s">
        <v>18</v>
      </c>
      <c r="B59" s="3">
        <v>0.36</v>
      </c>
    </row>
    <row r="60" spans="1:2">
      <c r="A60" s="13" t="s">
        <v>19</v>
      </c>
      <c r="B60" s="3">
        <v>0.36</v>
      </c>
    </row>
    <row r="61" spans="1:2">
      <c r="A61" s="13" t="s">
        <v>20</v>
      </c>
      <c r="B61" s="3">
        <v>0.3</v>
      </c>
    </row>
    <row r="62" spans="1:2">
      <c r="A62" s="13" t="s">
        <v>21</v>
      </c>
      <c r="B62" s="3">
        <v>0.27</v>
      </c>
    </row>
    <row r="63" spans="1:2">
      <c r="A63" s="13" t="s">
        <v>22</v>
      </c>
      <c r="B63" s="3">
        <v>0.26</v>
      </c>
    </row>
    <row r="64" spans="1:2">
      <c r="A64" s="13" t="s">
        <v>23</v>
      </c>
      <c r="B64" s="3">
        <v>0.26</v>
      </c>
    </row>
    <row r="65" spans="1:2">
      <c r="A65" s="13" t="s">
        <v>24</v>
      </c>
      <c r="B65" s="3">
        <v>0.26</v>
      </c>
    </row>
    <row r="66" spans="1:2">
      <c r="A66" s="13" t="s">
        <v>25</v>
      </c>
      <c r="B66" s="3">
        <v>0.25</v>
      </c>
    </row>
    <row r="67" spans="1:2">
      <c r="A67" s="13" t="s">
        <v>14</v>
      </c>
      <c r="B67" s="3">
        <v>3.4499999999999993</v>
      </c>
    </row>
    <row r="72" spans="1:2">
      <c r="A72" s="12" t="s">
        <v>13</v>
      </c>
      <c r="B72" t="s">
        <v>29</v>
      </c>
    </row>
    <row r="73" spans="1:2">
      <c r="A73" s="13" t="s">
        <v>15</v>
      </c>
      <c r="B73" s="4">
        <v>82</v>
      </c>
    </row>
    <row r="74" spans="1:2">
      <c r="A74" s="13" t="s">
        <v>16</v>
      </c>
      <c r="B74" s="4">
        <v>139</v>
      </c>
    </row>
    <row r="75" spans="1:2">
      <c r="A75" s="13" t="s">
        <v>17</v>
      </c>
      <c r="B75" s="4">
        <v>67</v>
      </c>
    </row>
    <row r="76" spans="1:2">
      <c r="A76" s="13" t="s">
        <v>18</v>
      </c>
      <c r="B76" s="4">
        <v>99</v>
      </c>
    </row>
    <row r="77" spans="1:2">
      <c r="A77" s="13" t="s">
        <v>19</v>
      </c>
      <c r="B77" s="4">
        <v>126</v>
      </c>
    </row>
    <row r="78" spans="1:2">
      <c r="A78" s="13" t="s">
        <v>20</v>
      </c>
      <c r="B78" s="4">
        <v>77</v>
      </c>
    </row>
    <row r="79" spans="1:2">
      <c r="A79" s="13" t="s">
        <v>21</v>
      </c>
      <c r="B79" s="4">
        <v>124</v>
      </c>
    </row>
    <row r="80" spans="1:2">
      <c r="A80" s="13" t="s">
        <v>22</v>
      </c>
      <c r="B80" s="4">
        <v>72</v>
      </c>
    </row>
    <row r="81" spans="1:2">
      <c r="A81" s="13" t="s">
        <v>23</v>
      </c>
      <c r="B81" s="4">
        <v>148</v>
      </c>
    </row>
    <row r="82" spans="1:2">
      <c r="A82" s="13" t="s">
        <v>24</v>
      </c>
      <c r="B82" s="4">
        <v>106</v>
      </c>
    </row>
    <row r="83" spans="1:2">
      <c r="A83" s="13" t="s">
        <v>25</v>
      </c>
      <c r="B83" s="4">
        <v>276</v>
      </c>
    </row>
    <row r="84" spans="1:2">
      <c r="A84" s="13" t="s">
        <v>14</v>
      </c>
      <c r="B84" s="4">
        <v>1316</v>
      </c>
    </row>
    <row r="104" spans="1:3">
      <c r="A104" s="12" t="s">
        <v>13</v>
      </c>
      <c r="B104" t="s">
        <v>30</v>
      </c>
      <c r="C104" t="s">
        <v>31</v>
      </c>
    </row>
    <row r="105" spans="1:3">
      <c r="A105" s="13" t="s">
        <v>20</v>
      </c>
      <c r="B105" s="2">
        <v>2264</v>
      </c>
      <c r="C105" s="5">
        <v>513</v>
      </c>
    </row>
    <row r="106" spans="1:3">
      <c r="A106" s="13" t="s">
        <v>22</v>
      </c>
      <c r="B106" s="2">
        <v>1879</v>
      </c>
      <c r="C106" s="5">
        <v>660</v>
      </c>
    </row>
    <row r="107" spans="1:3">
      <c r="A107" s="13" t="s">
        <v>23</v>
      </c>
      <c r="B107" s="2">
        <v>3541</v>
      </c>
      <c r="C107" s="5">
        <v>1006</v>
      </c>
    </row>
    <row r="108" spans="1:3">
      <c r="A108" s="13" t="s">
        <v>24</v>
      </c>
      <c r="B108" s="2">
        <v>4260</v>
      </c>
      <c r="C108" s="5">
        <v>1111</v>
      </c>
    </row>
    <row r="109" spans="1:3">
      <c r="A109" s="13" t="s">
        <v>25</v>
      </c>
      <c r="B109" s="2">
        <v>4675</v>
      </c>
      <c r="C109" s="5">
        <v>1315</v>
      </c>
    </row>
    <row r="110" spans="1:3">
      <c r="A110" s="13" t="s">
        <v>14</v>
      </c>
      <c r="B110" s="2">
        <v>16619</v>
      </c>
      <c r="C110" s="5">
        <v>4605</v>
      </c>
    </row>
    <row r="120" spans="1:3">
      <c r="A120" s="12" t="s">
        <v>13</v>
      </c>
      <c r="B120" t="s">
        <v>33</v>
      </c>
      <c r="C120" t="s">
        <v>32</v>
      </c>
    </row>
    <row r="121" spans="1:3">
      <c r="A121" s="13" t="s">
        <v>15</v>
      </c>
      <c r="B121" s="3">
        <v>0.2</v>
      </c>
      <c r="C121" s="36">
        <v>13.06</v>
      </c>
    </row>
    <row r="122" spans="1:3">
      <c r="A122" s="13" t="s">
        <v>16</v>
      </c>
      <c r="B122" s="3">
        <v>0.4</v>
      </c>
      <c r="C122" s="36">
        <v>18.86</v>
      </c>
    </row>
    <row r="123" spans="1:3">
      <c r="A123" s="13" t="s">
        <v>17</v>
      </c>
      <c r="B123" s="3">
        <v>0.49</v>
      </c>
      <c r="C123" s="36">
        <v>11.45</v>
      </c>
    </row>
    <row r="124" spans="1:3">
      <c r="A124" s="13" t="s">
        <v>18</v>
      </c>
      <c r="B124" s="3">
        <v>0.21</v>
      </c>
      <c r="C124" s="36">
        <v>11.03</v>
      </c>
    </row>
    <row r="125" spans="1:3">
      <c r="A125" s="13" t="s">
        <v>19</v>
      </c>
      <c r="B125" s="3">
        <v>0.98</v>
      </c>
      <c r="C125" s="36">
        <v>3.86</v>
      </c>
    </row>
    <row r="126" spans="1:3">
      <c r="A126" s="13" t="s">
        <v>20</v>
      </c>
      <c r="B126" s="3">
        <v>0.39</v>
      </c>
      <c r="C126" s="36">
        <v>6.41</v>
      </c>
    </row>
    <row r="127" spans="1:3">
      <c r="A127" s="13" t="s">
        <v>21</v>
      </c>
      <c r="B127" s="3">
        <v>0.43</v>
      </c>
      <c r="C127" s="36">
        <v>2.34</v>
      </c>
    </row>
    <row r="128" spans="1:3">
      <c r="A128" s="13" t="s">
        <v>22</v>
      </c>
      <c r="B128" s="3">
        <v>0.42</v>
      </c>
      <c r="C128" s="36">
        <v>8.24</v>
      </c>
    </row>
    <row r="129" spans="1:8">
      <c r="A129" s="13" t="s">
        <v>23</v>
      </c>
      <c r="B129" s="3">
        <v>0.44</v>
      </c>
      <c r="C129" s="36">
        <v>12.57</v>
      </c>
    </row>
    <row r="130" spans="1:8">
      <c r="A130" s="13" t="s">
        <v>24</v>
      </c>
      <c r="B130" s="3">
        <v>0.47</v>
      </c>
      <c r="C130" s="36">
        <v>13.89</v>
      </c>
    </row>
    <row r="131" spans="1:8">
      <c r="A131" s="13" t="s">
        <v>25</v>
      </c>
      <c r="B131" s="3">
        <v>0.49</v>
      </c>
      <c r="C131" s="36">
        <v>16.43</v>
      </c>
    </row>
    <row r="132" spans="1:8">
      <c r="A132" s="13" t="s">
        <v>14</v>
      </c>
      <c r="B132" s="3">
        <v>4.9200000000000008</v>
      </c>
      <c r="C132" s="36">
        <v>118.13999999999999</v>
      </c>
    </row>
    <row r="139" spans="1:8">
      <c r="E139" s="21" t="s">
        <v>0</v>
      </c>
      <c r="F139" s="25">
        <v>4675</v>
      </c>
    </row>
    <row r="140" spans="1:8">
      <c r="E140" s="22" t="s">
        <v>1</v>
      </c>
      <c r="F140" s="25">
        <v>3124</v>
      </c>
      <c r="G140" s="31">
        <v>43891</v>
      </c>
    </row>
    <row r="141" spans="1:8">
      <c r="E141" s="22" t="s">
        <v>2</v>
      </c>
      <c r="F141" s="25">
        <v>1551</v>
      </c>
      <c r="G141" s="22" t="s">
        <v>2</v>
      </c>
      <c r="H141" s="25">
        <v>1551</v>
      </c>
    </row>
    <row r="142" spans="1:8">
      <c r="E142" s="18" t="s">
        <v>3</v>
      </c>
      <c r="F142" s="26">
        <v>0.33</v>
      </c>
      <c r="G142" s="18" t="s">
        <v>4</v>
      </c>
      <c r="H142" s="27">
        <v>276</v>
      </c>
    </row>
    <row r="143" spans="1:8">
      <c r="E143" s="18" t="s">
        <v>4</v>
      </c>
      <c r="F143" s="27">
        <v>276</v>
      </c>
      <c r="G143" s="18" t="s">
        <v>5</v>
      </c>
      <c r="H143" s="20">
        <v>-17</v>
      </c>
    </row>
    <row r="144" spans="1:8">
      <c r="E144" s="18" t="s">
        <v>5</v>
      </c>
      <c r="F144" s="20">
        <v>17</v>
      </c>
      <c r="G144" s="18" t="s">
        <v>6</v>
      </c>
      <c r="H144" s="20">
        <f>-53</f>
        <v>-53</v>
      </c>
    </row>
    <row r="145" spans="5:10">
      <c r="E145" s="18" t="s">
        <v>6</v>
      </c>
      <c r="F145" s="20">
        <v>53</v>
      </c>
      <c r="G145" s="18" t="s">
        <v>7</v>
      </c>
      <c r="H145" s="28">
        <v>1757</v>
      </c>
    </row>
    <row r="146" spans="5:10">
      <c r="E146" s="18" t="s">
        <v>7</v>
      </c>
      <c r="F146" s="28">
        <v>1757</v>
      </c>
      <c r="G146" s="23" t="s">
        <v>8</v>
      </c>
      <c r="H146" s="30">
        <v>-439</v>
      </c>
    </row>
    <row r="147" spans="5:10">
      <c r="E147" s="23" t="s">
        <v>8</v>
      </c>
      <c r="F147" s="26">
        <v>0.25</v>
      </c>
      <c r="G147" s="24" t="s">
        <v>9</v>
      </c>
      <c r="H147" s="28">
        <v>1315</v>
      </c>
    </row>
    <row r="148" spans="5:10">
      <c r="E148" s="24" t="s">
        <v>9</v>
      </c>
      <c r="F148" s="28">
        <v>1315</v>
      </c>
    </row>
    <row r="149" spans="5:10">
      <c r="E149" s="18" t="s">
        <v>10</v>
      </c>
      <c r="F149" s="20">
        <v>16.43</v>
      </c>
    </row>
    <row r="150" spans="5:10">
      <c r="E150" s="19" t="s">
        <v>11</v>
      </c>
      <c r="F150" s="29">
        <v>0.49</v>
      </c>
    </row>
    <row r="157" spans="5:10">
      <c r="J157" t="s">
        <v>39</v>
      </c>
    </row>
  </sheetData>
  <pageMargins left="0.7" right="0.7" top="0.75" bottom="0.75" header="0.3" footer="0.3"/>
  <drawing r:id="rId8"/>
  <extLst>
    <ext xmlns:x14="http://schemas.microsoft.com/office/spreadsheetml/2009/9/main" uri="{CCE6A557-97BC-4b89-ADB6-D9C93CAAB3DF}">
      <x14:dataValidations xmlns:xm="http://schemas.microsoft.com/office/excel/2006/main" count="1">
        <x14:dataValidation type="list" allowBlank="1" showInputMessage="1" showErrorMessage="1" xr:uid="{F7EFF99D-970A-4C94-A1C5-FE928826C195}">
          <x14:formula1>
            <xm:f>DATA!$A$2:$A$12</xm:f>
          </x14:formula1>
          <xm:sqref>G140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63E0F-3D36-4B96-AD50-4BACE2807ADE}">
  <dimension ref="O6"/>
  <sheetViews>
    <sheetView tabSelected="1" zoomScale="92" zoomScaleNormal="92" workbookViewId="0">
      <selection activeCell="F62" sqref="F62"/>
    </sheetView>
  </sheetViews>
  <sheetFormatPr defaultRowHeight="15.6"/>
  <cols>
    <col min="1" max="1" width="8.88671875" style="34" customWidth="1"/>
    <col min="2" max="16384" width="8.88671875" style="34"/>
  </cols>
  <sheetData>
    <row r="6" spans="15:15">
      <c r="O6" s="3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D4AE7-B5D5-4D52-9FB0-FCAC4E2633DD}">
  <dimension ref="A3:K15"/>
  <sheetViews>
    <sheetView workbookViewId="0">
      <selection activeCell="G11" sqref="G11"/>
    </sheetView>
  </sheetViews>
  <sheetFormatPr defaultRowHeight="14.4"/>
  <cols>
    <col min="1" max="1" width="12.5546875" bestFit="1" customWidth="1"/>
    <col min="2" max="2" width="13.21875" bestFit="1" customWidth="1"/>
    <col min="4" max="4" width="12.5546875" bestFit="1" customWidth="1"/>
    <col min="5" max="6" width="16.6640625" bestFit="1" customWidth="1"/>
    <col min="7" max="7" width="12.5546875" bestFit="1" customWidth="1"/>
    <col min="8" max="8" width="17.21875" bestFit="1" customWidth="1"/>
    <col min="10" max="10" width="12.5546875" bestFit="1" customWidth="1"/>
    <col min="11" max="11" width="20.6640625" bestFit="1" customWidth="1"/>
  </cols>
  <sheetData>
    <row r="3" spans="1:11">
      <c r="A3" s="12" t="s">
        <v>13</v>
      </c>
      <c r="B3" t="s">
        <v>37</v>
      </c>
      <c r="D3" s="12" t="s">
        <v>13</v>
      </c>
      <c r="E3" t="s">
        <v>38</v>
      </c>
      <c r="G3" s="12" t="s">
        <v>13</v>
      </c>
      <c r="H3" t="s">
        <v>27</v>
      </c>
      <c r="J3" s="12" t="s">
        <v>13</v>
      </c>
      <c r="K3" t="s">
        <v>29</v>
      </c>
    </row>
    <row r="4" spans="1:11">
      <c r="A4" s="13" t="s">
        <v>15</v>
      </c>
      <c r="B4" s="2">
        <v>1059</v>
      </c>
      <c r="D4" s="13" t="s">
        <v>15</v>
      </c>
      <c r="E4" s="2">
        <v>907</v>
      </c>
      <c r="G4" s="13" t="s">
        <v>25</v>
      </c>
      <c r="H4" s="5">
        <v>1315</v>
      </c>
      <c r="J4" s="13" t="s">
        <v>15</v>
      </c>
      <c r="K4" s="4">
        <v>82</v>
      </c>
    </row>
    <row r="5" spans="1:11">
      <c r="A5" s="13" t="s">
        <v>16</v>
      </c>
      <c r="B5" s="2">
        <v>1367</v>
      </c>
      <c r="D5" s="13" t="s">
        <v>16</v>
      </c>
      <c r="E5" s="2">
        <v>1176</v>
      </c>
      <c r="G5" s="13" t="s">
        <v>14</v>
      </c>
      <c r="H5" s="5">
        <v>1315</v>
      </c>
      <c r="J5" s="13" t="s">
        <v>16</v>
      </c>
      <c r="K5" s="4">
        <v>139</v>
      </c>
    </row>
    <row r="6" spans="1:11">
      <c r="A6" s="13" t="s">
        <v>17</v>
      </c>
      <c r="B6" s="2">
        <v>1520</v>
      </c>
      <c r="D6" s="13" t="s">
        <v>17</v>
      </c>
      <c r="E6" s="2">
        <v>1206</v>
      </c>
      <c r="J6" s="13" t="s">
        <v>17</v>
      </c>
      <c r="K6" s="4">
        <v>67</v>
      </c>
    </row>
    <row r="7" spans="1:11">
      <c r="A7" s="13" t="s">
        <v>18</v>
      </c>
      <c r="B7" s="2">
        <v>1466</v>
      </c>
      <c r="D7" s="13" t="s">
        <v>18</v>
      </c>
      <c r="E7" s="2">
        <v>1192</v>
      </c>
      <c r="J7" s="13" t="s">
        <v>18</v>
      </c>
      <c r="K7" s="4">
        <v>99</v>
      </c>
    </row>
    <row r="8" spans="1:11">
      <c r="A8" s="13" t="s">
        <v>19</v>
      </c>
      <c r="B8" s="2">
        <v>1870</v>
      </c>
      <c r="D8" s="13" t="s">
        <v>19</v>
      </c>
      <c r="E8" s="2">
        <v>1487</v>
      </c>
      <c r="J8" s="13" t="s">
        <v>19</v>
      </c>
      <c r="K8" s="4">
        <v>126</v>
      </c>
    </row>
    <row r="9" spans="1:11">
      <c r="A9" s="13" t="s">
        <v>20</v>
      </c>
      <c r="B9" s="2">
        <v>2264</v>
      </c>
      <c r="D9" s="13" t="s">
        <v>20</v>
      </c>
      <c r="E9" s="2">
        <v>1562</v>
      </c>
      <c r="J9" s="13" t="s">
        <v>20</v>
      </c>
      <c r="K9" s="4">
        <v>77</v>
      </c>
    </row>
    <row r="10" spans="1:11">
      <c r="A10" s="13" t="s">
        <v>21</v>
      </c>
      <c r="B10" s="2">
        <v>777</v>
      </c>
      <c r="D10" s="13" t="s">
        <v>21</v>
      </c>
      <c r="E10" s="2">
        <v>589</v>
      </c>
      <c r="J10" s="13" t="s">
        <v>21</v>
      </c>
      <c r="K10" s="4">
        <v>124</v>
      </c>
    </row>
    <row r="11" spans="1:11">
      <c r="A11" s="13" t="s">
        <v>22</v>
      </c>
      <c r="B11" s="2">
        <v>1879</v>
      </c>
      <c r="D11" s="13" t="s">
        <v>22</v>
      </c>
      <c r="E11" s="2">
        <v>1005</v>
      </c>
      <c r="J11" s="13" t="s">
        <v>22</v>
      </c>
      <c r="K11" s="4">
        <v>72</v>
      </c>
    </row>
    <row r="12" spans="1:11">
      <c r="A12" s="13" t="s">
        <v>23</v>
      </c>
      <c r="B12" s="2">
        <v>3541</v>
      </c>
      <c r="D12" s="13" t="s">
        <v>23</v>
      </c>
      <c r="E12" s="2">
        <v>2265</v>
      </c>
      <c r="J12" s="13" t="s">
        <v>23</v>
      </c>
      <c r="K12" s="4">
        <v>148</v>
      </c>
    </row>
    <row r="13" spans="1:11">
      <c r="A13" s="13" t="s">
        <v>24</v>
      </c>
      <c r="B13" s="2">
        <v>4260</v>
      </c>
      <c r="D13" s="13" t="s">
        <v>24</v>
      </c>
      <c r="E13" s="2">
        <v>2794</v>
      </c>
      <c r="J13" s="13" t="s">
        <v>24</v>
      </c>
      <c r="K13" s="4">
        <v>106</v>
      </c>
    </row>
    <row r="14" spans="1:11">
      <c r="A14" s="13" t="s">
        <v>25</v>
      </c>
      <c r="B14" s="2">
        <v>4675</v>
      </c>
      <c r="D14" s="13" t="s">
        <v>25</v>
      </c>
      <c r="E14" s="2">
        <v>3124</v>
      </c>
      <c r="J14" s="13" t="s">
        <v>25</v>
      </c>
      <c r="K14" s="4">
        <v>276</v>
      </c>
    </row>
    <row r="15" spans="1:11">
      <c r="A15" s="13" t="s">
        <v>14</v>
      </c>
      <c r="B15" s="2">
        <v>24678</v>
      </c>
      <c r="D15" s="13" t="s">
        <v>14</v>
      </c>
      <c r="E15" s="2">
        <v>17307</v>
      </c>
      <c r="J15" s="13" t="s">
        <v>14</v>
      </c>
      <c r="K15" s="4">
        <v>1316</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5462E-1AFB-43A2-B1E3-D9CEABD67012}">
  <dimension ref="A1:Q31"/>
  <sheetViews>
    <sheetView zoomScale="104" workbookViewId="0">
      <selection activeCell="C5" sqref="A2:M12"/>
    </sheetView>
  </sheetViews>
  <sheetFormatPr defaultRowHeight="14.4"/>
  <cols>
    <col min="1" max="1" width="12.33203125" style="11" customWidth="1"/>
    <col min="2" max="2" width="9.44140625" bestFit="1" customWidth="1"/>
    <col min="3" max="3" width="18.6640625" customWidth="1"/>
    <col min="4" max="4" width="16.77734375" bestFit="1" customWidth="1"/>
    <col min="5" max="5" width="15.5546875" customWidth="1"/>
    <col min="6" max="6" width="16.33203125" bestFit="1" customWidth="1"/>
    <col min="7" max="7" width="9.6640625" bestFit="1" customWidth="1"/>
    <col min="8" max="8" width="13.88671875" bestFit="1" customWidth="1"/>
    <col min="9" max="9" width="17" bestFit="1" customWidth="1"/>
    <col min="10" max="10" width="10.6640625" customWidth="1"/>
    <col min="11" max="11" width="12.77734375" bestFit="1" customWidth="1"/>
    <col min="12" max="12" width="10.6640625" bestFit="1" customWidth="1"/>
    <col min="13" max="13" width="19.109375" bestFit="1" customWidth="1"/>
  </cols>
  <sheetData>
    <row r="1" spans="1:13">
      <c r="A1" s="6" t="s">
        <v>12</v>
      </c>
      <c r="B1" s="1" t="s">
        <v>0</v>
      </c>
      <c r="C1" s="2" t="s">
        <v>1</v>
      </c>
      <c r="D1" s="2" t="s">
        <v>2</v>
      </c>
      <c r="E1" t="s">
        <v>3</v>
      </c>
      <c r="F1" t="s">
        <v>4</v>
      </c>
      <c r="G1" t="s">
        <v>5</v>
      </c>
      <c r="H1" t="s">
        <v>6</v>
      </c>
      <c r="I1" t="s">
        <v>7</v>
      </c>
      <c r="J1" s="3" t="s">
        <v>8</v>
      </c>
      <c r="K1" s="5" t="s">
        <v>9</v>
      </c>
      <c r="L1" t="s">
        <v>10</v>
      </c>
      <c r="M1" t="s">
        <v>11</v>
      </c>
    </row>
    <row r="2" spans="1:13" ht="15" thickBot="1">
      <c r="A2" s="9">
        <v>42064</v>
      </c>
      <c r="B2" s="2">
        <v>1059</v>
      </c>
      <c r="C2" s="2">
        <v>907</v>
      </c>
      <c r="D2" s="2">
        <v>152</v>
      </c>
      <c r="E2" s="3">
        <v>0.14000000000000001</v>
      </c>
      <c r="F2" s="4">
        <v>82</v>
      </c>
      <c r="G2">
        <v>0</v>
      </c>
      <c r="H2">
        <v>20</v>
      </c>
      <c r="I2" s="5">
        <v>214</v>
      </c>
      <c r="J2" s="3">
        <v>0.39</v>
      </c>
      <c r="K2" s="5">
        <v>131</v>
      </c>
      <c r="L2">
        <v>13.06</v>
      </c>
      <c r="M2" s="3">
        <v>0.2</v>
      </c>
    </row>
    <row r="3" spans="1:13" ht="15" thickBot="1">
      <c r="A3" s="9">
        <v>42430</v>
      </c>
      <c r="B3" s="2">
        <v>1367</v>
      </c>
      <c r="C3" s="2">
        <v>1176</v>
      </c>
      <c r="D3" s="2">
        <v>190</v>
      </c>
      <c r="E3" s="3">
        <v>0.14000000000000001</v>
      </c>
      <c r="F3" s="4">
        <v>139</v>
      </c>
      <c r="G3">
        <v>0</v>
      </c>
      <c r="H3">
        <v>21</v>
      </c>
      <c r="I3" s="5">
        <v>309</v>
      </c>
      <c r="J3" s="3">
        <v>0.39</v>
      </c>
      <c r="K3" s="5">
        <v>189</v>
      </c>
      <c r="L3">
        <v>18.86</v>
      </c>
      <c r="M3" s="3">
        <v>0.4</v>
      </c>
    </row>
    <row r="4" spans="1:13" ht="15" thickBot="1">
      <c r="A4" s="9">
        <v>42795</v>
      </c>
      <c r="B4" s="2">
        <v>1520</v>
      </c>
      <c r="C4" s="2">
        <v>1206</v>
      </c>
      <c r="D4" s="2">
        <v>314</v>
      </c>
      <c r="E4" s="3">
        <v>0.21</v>
      </c>
      <c r="F4" s="4">
        <v>67</v>
      </c>
      <c r="G4">
        <v>3</v>
      </c>
      <c r="H4">
        <v>22</v>
      </c>
      <c r="I4" s="5">
        <v>355</v>
      </c>
      <c r="J4" s="3">
        <v>0.35</v>
      </c>
      <c r="K4" s="5">
        <v>229</v>
      </c>
      <c r="L4">
        <v>11.45</v>
      </c>
      <c r="M4" s="3">
        <v>0.49</v>
      </c>
    </row>
    <row r="5" spans="1:13" ht="15" thickBot="1">
      <c r="A5" s="9">
        <v>43160</v>
      </c>
      <c r="B5" s="2">
        <v>1466</v>
      </c>
      <c r="C5" s="2">
        <v>1192</v>
      </c>
      <c r="D5" s="2">
        <v>274</v>
      </c>
      <c r="E5" s="3">
        <v>0.19</v>
      </c>
      <c r="F5" s="4">
        <v>99</v>
      </c>
      <c r="G5">
        <v>3</v>
      </c>
      <c r="H5">
        <v>24</v>
      </c>
      <c r="I5" s="5">
        <v>346</v>
      </c>
      <c r="J5" s="3">
        <v>0.36</v>
      </c>
      <c r="K5" s="5">
        <v>221</v>
      </c>
      <c r="L5">
        <v>11.03</v>
      </c>
      <c r="M5" s="3">
        <v>0.21</v>
      </c>
    </row>
    <row r="6" spans="1:13" ht="15" thickBot="1">
      <c r="A6" s="9">
        <v>43525</v>
      </c>
      <c r="B6" s="2">
        <v>1870</v>
      </c>
      <c r="C6" s="2">
        <v>1487</v>
      </c>
      <c r="D6" s="2">
        <v>383</v>
      </c>
      <c r="E6" s="3">
        <v>0.2</v>
      </c>
      <c r="F6" s="4">
        <v>126</v>
      </c>
      <c r="G6">
        <v>2</v>
      </c>
      <c r="H6">
        <v>29</v>
      </c>
      <c r="I6" s="5">
        <v>479</v>
      </c>
      <c r="J6" s="3">
        <v>0.36</v>
      </c>
      <c r="K6" s="5">
        <v>309</v>
      </c>
      <c r="L6">
        <v>3.86</v>
      </c>
      <c r="M6" s="3">
        <v>0.98</v>
      </c>
    </row>
    <row r="7" spans="1:13" ht="15" thickBot="1">
      <c r="A7" s="9">
        <v>43891</v>
      </c>
      <c r="B7" s="2">
        <v>2264</v>
      </c>
      <c r="C7" s="2">
        <v>1562</v>
      </c>
      <c r="D7" s="2">
        <v>703</v>
      </c>
      <c r="E7" s="3">
        <v>0.31</v>
      </c>
      <c r="F7" s="4">
        <v>77</v>
      </c>
      <c r="G7">
        <v>10</v>
      </c>
      <c r="H7">
        <v>40</v>
      </c>
      <c r="I7" s="5">
        <v>730</v>
      </c>
      <c r="J7" s="3">
        <v>0.3</v>
      </c>
      <c r="K7" s="5">
        <v>513</v>
      </c>
      <c r="L7">
        <v>6.41</v>
      </c>
      <c r="M7" s="3">
        <v>0.39</v>
      </c>
    </row>
    <row r="8" spans="1:13" ht="15" thickBot="1">
      <c r="A8" s="9">
        <v>44256</v>
      </c>
      <c r="B8" s="2">
        <v>777</v>
      </c>
      <c r="C8" s="2">
        <v>589</v>
      </c>
      <c r="D8" s="2">
        <v>188</v>
      </c>
      <c r="E8" s="3">
        <v>0.24</v>
      </c>
      <c r="F8" s="4">
        <v>124</v>
      </c>
      <c r="G8">
        <v>8</v>
      </c>
      <c r="H8">
        <v>46</v>
      </c>
      <c r="I8" s="5">
        <v>258</v>
      </c>
      <c r="J8" s="3">
        <v>0.27</v>
      </c>
      <c r="K8" s="5">
        <v>187</v>
      </c>
      <c r="L8">
        <v>2.34</v>
      </c>
      <c r="M8" s="3">
        <v>0.43</v>
      </c>
    </row>
    <row r="9" spans="1:13" ht="15" thickBot="1">
      <c r="A9" s="9">
        <v>44621</v>
      </c>
      <c r="B9" s="2">
        <v>1879</v>
      </c>
      <c r="C9" s="2">
        <v>1005</v>
      </c>
      <c r="D9" s="2">
        <v>874</v>
      </c>
      <c r="E9" s="3">
        <v>0.47</v>
      </c>
      <c r="F9" s="4">
        <v>72</v>
      </c>
      <c r="G9">
        <v>11</v>
      </c>
      <c r="H9">
        <v>49</v>
      </c>
      <c r="I9" s="5">
        <v>885</v>
      </c>
      <c r="J9" s="3">
        <v>0.26</v>
      </c>
      <c r="K9" s="5">
        <v>660</v>
      </c>
      <c r="L9">
        <v>8.24</v>
      </c>
      <c r="M9" s="3">
        <v>0.42</v>
      </c>
    </row>
    <row r="10" spans="1:13" ht="15" thickBot="1">
      <c r="A10" s="9">
        <v>44986</v>
      </c>
      <c r="B10" s="2">
        <v>3541</v>
      </c>
      <c r="C10" s="2">
        <v>2265</v>
      </c>
      <c r="D10" s="2">
        <v>1276</v>
      </c>
      <c r="E10" s="3">
        <v>0.36</v>
      </c>
      <c r="F10" s="4">
        <v>148</v>
      </c>
      <c r="G10">
        <v>16</v>
      </c>
      <c r="H10">
        <v>54</v>
      </c>
      <c r="I10" s="5">
        <v>1354</v>
      </c>
      <c r="J10" s="3">
        <v>0.26</v>
      </c>
      <c r="K10" s="5">
        <v>1006</v>
      </c>
      <c r="L10">
        <v>12.57</v>
      </c>
      <c r="M10" s="3">
        <v>0.44</v>
      </c>
    </row>
    <row r="11" spans="1:13" ht="15" thickBot="1">
      <c r="A11" s="9">
        <v>45352</v>
      </c>
      <c r="B11" s="2">
        <v>4260</v>
      </c>
      <c r="C11" s="2">
        <v>2794</v>
      </c>
      <c r="D11" s="2">
        <v>1466</v>
      </c>
      <c r="E11" s="3">
        <v>0.34</v>
      </c>
      <c r="F11" s="4">
        <v>106</v>
      </c>
      <c r="G11">
        <v>19</v>
      </c>
      <c r="H11">
        <v>57</v>
      </c>
      <c r="I11" s="5">
        <v>1496</v>
      </c>
      <c r="J11" s="3">
        <v>0.26</v>
      </c>
      <c r="K11" s="5">
        <v>1111</v>
      </c>
      <c r="L11">
        <v>13.89</v>
      </c>
      <c r="M11" s="3">
        <v>0.47</v>
      </c>
    </row>
    <row r="12" spans="1:13" ht="15" thickBot="1">
      <c r="A12" s="9">
        <v>45717</v>
      </c>
      <c r="B12" s="2">
        <v>4675</v>
      </c>
      <c r="C12" s="2">
        <v>3124</v>
      </c>
      <c r="D12" s="2">
        <v>1551</v>
      </c>
      <c r="E12" s="3">
        <v>0.33</v>
      </c>
      <c r="F12" s="4">
        <v>276</v>
      </c>
      <c r="G12">
        <v>17</v>
      </c>
      <c r="H12">
        <v>53</v>
      </c>
      <c r="I12" s="5">
        <v>1757</v>
      </c>
      <c r="J12" s="3">
        <v>0.25</v>
      </c>
      <c r="K12" s="5">
        <v>1315</v>
      </c>
      <c r="L12">
        <v>16.43</v>
      </c>
      <c r="M12" s="3">
        <v>0.49</v>
      </c>
    </row>
    <row r="13" spans="1:13" ht="15" thickBot="1">
      <c r="A13" s="10"/>
      <c r="B13" s="2"/>
      <c r="C13" s="2"/>
      <c r="D13" s="2"/>
      <c r="E13" s="3"/>
      <c r="F13" s="4"/>
      <c r="I13" s="5"/>
      <c r="J13" s="3"/>
      <c r="K13" s="5"/>
      <c r="M13" s="3"/>
    </row>
    <row r="19" spans="3:17">
      <c r="D19" s="31">
        <v>42064</v>
      </c>
    </row>
    <row r="20" spans="3:17" ht="15" thickBot="1">
      <c r="C20" s="7"/>
      <c r="D20" s="22" t="s">
        <v>2</v>
      </c>
      <c r="F20" s="7"/>
      <c r="G20" s="7"/>
      <c r="H20" s="7"/>
      <c r="I20" s="7"/>
      <c r="J20" s="7"/>
      <c r="K20" s="7"/>
      <c r="L20" s="7"/>
      <c r="M20" s="7"/>
      <c r="N20" s="7"/>
      <c r="O20" s="7"/>
      <c r="P20" s="7"/>
      <c r="Q20" s="8"/>
    </row>
    <row r="21" spans="3:17" ht="15" thickBot="1">
      <c r="C21" s="7"/>
      <c r="D21" s="18" t="s">
        <v>4</v>
      </c>
    </row>
    <row r="22" spans="3:17" ht="15" thickBot="1">
      <c r="C22" s="7"/>
      <c r="D22" s="18" t="s">
        <v>5</v>
      </c>
    </row>
    <row r="23" spans="3:17" ht="15" thickBot="1">
      <c r="C23" s="7"/>
      <c r="D23" s="18" t="s">
        <v>6</v>
      </c>
    </row>
    <row r="24" spans="3:17" ht="15" thickBot="1">
      <c r="C24" s="7"/>
      <c r="D24" s="18" t="s">
        <v>7</v>
      </c>
    </row>
    <row r="25" spans="3:17" ht="15" thickBot="1">
      <c r="C25" s="7"/>
      <c r="D25" s="23" t="s">
        <v>8</v>
      </c>
    </row>
    <row r="26" spans="3:17" ht="15" thickBot="1">
      <c r="C26" s="7"/>
      <c r="D26" s="24" t="s">
        <v>9</v>
      </c>
    </row>
    <row r="27" spans="3:17" ht="15" thickBot="1">
      <c r="C27" s="7"/>
    </row>
    <row r="28" spans="3:17" ht="15" thickBot="1">
      <c r="C28" s="7"/>
    </row>
    <row r="29" spans="3:17" ht="15" thickBot="1">
      <c r="C29" s="7"/>
    </row>
    <row r="30" spans="3:17" ht="15" thickBot="1">
      <c r="C30" s="7"/>
    </row>
    <row r="31" spans="3:17" ht="15" thickBot="1">
      <c r="C31" s="8"/>
    </row>
  </sheetData>
  <dataValidations count="1">
    <dataValidation type="list" allowBlank="1" showInputMessage="1" showErrorMessage="1" sqref="D19" xr:uid="{8AEFC872-A052-4E5D-B6A5-20DF3441C82A}">
      <formula1>$A$2:$A$12</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42872-9541-4999-B54B-B349FBE0173C}">
  <dimension ref="B8:D16"/>
  <sheetViews>
    <sheetView workbookViewId="0">
      <selection activeCell="G26" sqref="G26"/>
    </sheetView>
  </sheetViews>
  <sheetFormatPr defaultRowHeight="14.4"/>
  <cols>
    <col min="7" max="7" width="12.5546875" bestFit="1" customWidth="1"/>
    <col min="8" max="8" width="8.5546875" bestFit="1" customWidth="1"/>
  </cols>
  <sheetData>
    <row r="8" spans="2:4">
      <c r="B8" s="14" t="s">
        <v>34</v>
      </c>
    </row>
    <row r="14" spans="2:4">
      <c r="C14" s="15"/>
      <c r="D14" s="32"/>
    </row>
    <row r="15" spans="2:4">
      <c r="C15" s="16"/>
      <c r="D15" s="33"/>
    </row>
    <row r="16" spans="2:4">
      <c r="C16" s="1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A279BB17-402A-4B6C-B097-B9ABF11758DD}">
  <ds:schemaRefs/>
</ds:datastoreItem>
</file>

<file path=customXml/itemProps2.xml><?xml version="1.0" encoding="utf-8"?>
<ds:datastoreItem xmlns:ds="http://schemas.openxmlformats.org/officeDocument/2006/customXml" ds:itemID="{A1AA6905-0368-44AD-AFBD-0BEB205D11F8}">
  <ds:schemaRefs/>
</ds:datastoreItem>
</file>

<file path=customXml/itemProps3.xml><?xml version="1.0" encoding="utf-8"?>
<ds:datastoreItem xmlns:ds="http://schemas.openxmlformats.org/officeDocument/2006/customXml" ds:itemID="{A0B1F9EB-3FE7-4167-A1FE-D833606FFC77}">
  <ds:schemaRefs/>
</ds:datastoreItem>
</file>

<file path=customXml/itemProps4.xml><?xml version="1.0" encoding="utf-8"?>
<ds:datastoreItem xmlns:ds="http://schemas.openxmlformats.org/officeDocument/2006/customXml" ds:itemID="{DFF9A991-BABE-46E6-925E-D5AA1A4284C9}">
  <ds:schemaRefs/>
</ds:datastoreItem>
</file>

<file path=customXml/itemProps5.xml><?xml version="1.0" encoding="utf-8"?>
<ds:datastoreItem xmlns:ds="http://schemas.openxmlformats.org/officeDocument/2006/customXml" ds:itemID="{A8FAD292-351C-4B7E-9DFB-7B969FB7FB3C}">
  <ds:schemaRefs>
    <ds:schemaRef ds:uri="http://schemas.microsoft.com/DataMashup"/>
  </ds:schemaRefs>
</ds:datastoreItem>
</file>

<file path=customXml/itemProps6.xml><?xml version="1.0" encoding="utf-8"?>
<ds:datastoreItem xmlns:ds="http://schemas.openxmlformats.org/officeDocument/2006/customXml" ds:itemID="{06132C65-3B17-4F5F-B33F-2E3A1B9B6261}">
  <ds:schemaRefs/>
</ds:datastoreItem>
</file>

<file path=customXml/itemProps7.xml><?xml version="1.0" encoding="utf-8"?>
<ds:datastoreItem xmlns:ds="http://schemas.openxmlformats.org/officeDocument/2006/customXml" ds:itemID="{3E4B78F8-24BF-44EC-AA70-0E65005F3AE2}">
  <ds:schemaRefs/>
</ds:datastoreItem>
</file>

<file path=customXml/itemProps8.xml><?xml version="1.0" encoding="utf-8"?>
<ds:datastoreItem xmlns:ds="http://schemas.openxmlformats.org/officeDocument/2006/customXml" ds:itemID="{2681A839-E94E-4AE0-A196-23640001C735}">
  <ds:schemaRefs/>
</ds:datastoreItem>
</file>

<file path=customXml/itemProps9.xml><?xml version="1.0" encoding="utf-8"?>
<ds:datastoreItem xmlns:ds="http://schemas.openxmlformats.org/officeDocument/2006/customXml" ds:itemID="{38781B5B-219E-4213-86D2-C0434D8CF4C6}">
  <ds:schemaRefs/>
</ds:datastoreItem>
</file>

<file path=customXml/itemProps10.xml><?xml version="1.0" encoding="utf-8"?>
<ds:datastoreItem xmlns:ds="http://schemas.openxmlformats.org/officeDocument/2006/customXml" ds:itemID="{CB60A7A0-3466-4B99-9166-4CF84F5E24B1}">
  <ds:schemaRefs/>
</ds:datastoreItem>
</file>

<file path=customXml/itemProps11.xml><?xml version="1.0" encoding="utf-8"?>
<ds:datastoreItem xmlns:ds="http://schemas.openxmlformats.org/officeDocument/2006/customXml" ds:itemID="{6C4E1786-3E68-4CDC-95C4-2670390E402C}">
  <ds:schemaRefs/>
</ds:datastoreItem>
</file>

<file path=customXml/itemProps12.xml><?xml version="1.0" encoding="utf-8"?>
<ds:datastoreItem xmlns:ds="http://schemas.openxmlformats.org/officeDocument/2006/customXml" ds:itemID="{9DFD6444-A82A-48C4-9D31-39F3ED436F7B}">
  <ds:schemaRefs/>
</ds:datastoreItem>
</file>

<file path=customXml/itemProps13.xml><?xml version="1.0" encoding="utf-8"?>
<ds:datastoreItem xmlns:ds="http://schemas.openxmlformats.org/officeDocument/2006/customXml" ds:itemID="{41BB3153-96B2-4E4F-8E5E-7AC36EE1D087}">
  <ds:schemaRefs/>
</ds:datastoreItem>
</file>

<file path=customXml/itemProps14.xml><?xml version="1.0" encoding="utf-8"?>
<ds:datastoreItem xmlns:ds="http://schemas.openxmlformats.org/officeDocument/2006/customXml" ds:itemID="{95FCC430-9DDA-4DD9-AC85-1EE39E316E44}">
  <ds:schemaRefs/>
</ds:datastoreItem>
</file>

<file path=customXml/itemProps15.xml><?xml version="1.0" encoding="utf-8"?>
<ds:datastoreItem xmlns:ds="http://schemas.openxmlformats.org/officeDocument/2006/customXml" ds:itemID="{2CAF2036-6155-442E-BD9A-B9E2EDC1557F}">
  <ds:schemaRefs/>
</ds:datastoreItem>
</file>

<file path=customXml/itemProps16.xml><?xml version="1.0" encoding="utf-8"?>
<ds:datastoreItem xmlns:ds="http://schemas.openxmlformats.org/officeDocument/2006/customXml" ds:itemID="{F4578FE4-6930-4F38-ADBD-E75696A247F0}">
  <ds:schemaRefs/>
</ds:datastoreItem>
</file>

<file path=customXml/itemProps17.xml><?xml version="1.0" encoding="utf-8"?>
<ds:datastoreItem xmlns:ds="http://schemas.openxmlformats.org/officeDocument/2006/customXml" ds:itemID="{85495BB6-CAD5-4624-9BDB-5F54F6B2DB5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PIVOT_TABLE1</vt:lpstr>
      <vt:lpstr>DASHBOARD</vt:lpstr>
      <vt:lpstr>KPI's</vt:lpstr>
      <vt:lpstr>DATA</vt:lpstr>
      <vt:lpstr>colurs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 kavitake</dc:creator>
  <cp:lastModifiedBy>jay kavitake</cp:lastModifiedBy>
  <dcterms:created xsi:type="dcterms:W3CDTF">2026-04-03T08:29:16Z</dcterms:created>
  <dcterms:modified xsi:type="dcterms:W3CDTF">2026-04-22T12:02:26Z</dcterms:modified>
</cp:coreProperties>
</file>